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l Bakış" sheetId="1" state="visible" r:id="rId3"/>
    <sheet name="12 Haftalık Takvim" sheetId="2" state="visible" r:id="rId4"/>
    <sheet name="Bütçe" sheetId="3" state="visible" r:id="rId5"/>
    <sheet name="KPI Taki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<sst xmlns="http://schemas.openxmlformats.org/spreadsheetml/2006/main" count="616" uniqueCount="259">
  <si>
    <t xml:space="preserve">TERAPİMAP — 90 GÜNLÜK BÜYÜME PLANI (03 Ağu – 25 Eki 2026)</t>
  </si>
  <si>
    <t xml:space="preserve">Tek kişilik full-time yürütme · ~7.000 TL/ay bütçe · Hedef: ilk 1000 uzmanı doldurmak, doğrulama &amp; trafiği büyütmek, gelir altyapısını kurmak.</t>
  </si>
  <si>
    <t xml:space="preserve">KUZEY YILDIZI</t>
  </si>
  <si>
    <t xml:space="preserve">90 günde: 1000+ profil, 150+ doğrulanmış uzman, 26 yayınlı rehber, ölçülebilir organik trafik artışı ve ilk ödeyen uzmanlar (Featured pilot).</t>
  </si>
  <si>
    <t xml:space="preserve">3 FAZ</t>
  </si>
  <si>
    <t xml:space="preserve">Faz 1 · Temel &amp; Doldurma</t>
  </si>
  <si>
    <t xml:space="preserve">Hafta 1-4 (03-30 Ağu)</t>
  </si>
  <si>
    <t xml:space="preserve">Altyapı+ölçüm kur, migration'ları bitir, doğrulama kampanyasını başlat, içerik motorunu ısıt, güven sinyalleri.</t>
  </si>
  <si>
    <t xml:space="preserve">Faz 2 · Trafik &amp; Büyüme</t>
  </si>
  <si>
    <t xml:space="preserve">Hafta 5-8 (31 Ağu-27 Eyl)</t>
  </si>
  <si>
    <t xml:space="preserve">Eşleştirme quiz'i, ilk ücretli test, içerik hızı, GEO, Featured paket tasarımı + pilot.</t>
  </si>
  <si>
    <t xml:space="preserve">Faz 3 · Dönüşüm &amp; Gelir</t>
  </si>
  <si>
    <t xml:space="preserve">Hafta 9-12 (28 Eyl-25 Eki)</t>
  </si>
  <si>
    <t xml:space="preserve">Featured satışı ölçekle, dönüşüm optimizasyonu, 1000 profili kapat, 90 gün retrospektifi + Q4 planı.</t>
  </si>
  <si>
    <t xml:space="preserve">İŞ KOLLARI (takvimden otomatik sayım)</t>
  </si>
  <si>
    <t xml:space="preserve">İş Kolu</t>
  </si>
  <si>
    <t xml:space="preserve">Kapsam</t>
  </si>
  <si>
    <t xml:space="preserve">Görev sayısı</t>
  </si>
  <si>
    <t xml:space="preserve">Toplam saat</t>
  </si>
  <si>
    <t xml:space="preserve">Uzman Kazanımı</t>
  </si>
  <si>
    <t xml:space="preserve">Doğrulama outreach, self-registration tanıtımı, cold outreach, 1000 hedefi.</t>
  </si>
  <si>
    <t xml:space="preserve">Danışan Trafiği</t>
  </si>
  <si>
    <t xml:space="preserve">Teknik SEO, anahtar kelime, GEO, backlink, ücretli test, dönüşüm.</t>
  </si>
  <si>
    <t xml:space="preserve">İçerik Motoru</t>
  </si>
  <si>
    <t xml:space="preserve">Haftada ~2 rehber (pipeline), kapak görseli, iç linkleme, konu kümeleri.</t>
  </si>
  <si>
    <t xml:space="preserve">Ürün/UX</t>
  </si>
  <si>
    <t xml:space="preserve">Eşleştirme quiz'i, lead formu, randevu akışı, hız/CWV.</t>
  </si>
  <si>
    <t xml:space="preserve">Para Modeli</t>
  </si>
  <si>
    <t xml:space="preserve">Rakip analizi, Featured paket, faturalama, pilot satış, gelir raporu.</t>
  </si>
  <si>
    <t xml:space="preserve">Güven &amp; İtibar</t>
  </si>
  <si>
    <t xml:space="preserve">Tıbbi danışman, editoryal politika, E-E-A-T, doğrulanmış rozet, sosyal kanıt.</t>
  </si>
  <si>
    <t xml:space="preserve">Ölçüm/Altyapı</t>
  </si>
  <si>
    <t xml:space="preserve">Migration, GSC/Bing/Clarity, faz retrospektifleri, KPI takip.</t>
  </si>
  <si>
    <t xml:space="preserve">Nasıl kullanılır: '12 Haftalık Takvim' sekmesinde her hafta için görevler var. 'Durum' sütununu (Yapılacak/Devam/Bitti) güncelle. Öncelik P1'ler pazarlık payı yok; sıkışırsan önce P3'leri ertele. 'Bütçe' ve 'KPI Takip' sekmeleri aylık takip içindir.</t>
  </si>
  <si>
    <t xml:space="preserve">12 HAFTALIK UYGULAMA TAKVİMİ</t>
  </si>
  <si>
    <t xml:space="preserve">Hafta</t>
  </si>
  <si>
    <t xml:space="preserve">Tarih</t>
  </si>
  <si>
    <t xml:space="preserve">Faz</t>
  </si>
  <si>
    <t xml:space="preserve">Görev</t>
  </si>
  <si>
    <t xml:space="preserve">Öncelik</t>
  </si>
  <si>
    <t xml:space="preserve">Saat</t>
  </si>
  <si>
    <t xml:space="preserve">Hedef / Çıktı (KPI)</t>
  </si>
  <si>
    <t xml:space="preserve">Durum</t>
  </si>
  <si>
    <t xml:space="preserve">H1</t>
  </si>
  <si>
    <t xml:space="preserve">03-09 Ağu</t>
  </si>
  <si>
    <t xml:space="preserve">Faz 1</t>
  </si>
  <si>
    <t xml:space="preserve">Bekleyen migration'ları çalıştır (seo_landing, therapist_applications) + Vercel env (SITE_URL, Maps key)</t>
  </si>
  <si>
    <t xml:space="preserve">P1</t>
  </si>
  <si>
    <t xml:space="preserve">42703 hataları biter; landing SEO alanları &amp; başvuru formu aktif</t>
  </si>
  <si>
    <t xml:space="preserve">Yapılacak</t>
  </si>
  <si>
    <t xml:space="preserve">Google Search Console + Bing Webmaster + Microsoft Clarity + analitik kur, sitemap gönder</t>
  </si>
  <si>
    <t xml:space="preserve">Trafik &amp; davranış ölçümü canlı</t>
  </si>
  <si>
    <t xml:space="preserve">Doğrulama outreach altyapısı: e-posta/DM şablonları + 763 profillik takip tablosu</t>
  </si>
  <si>
    <t xml:space="preserve">Kampanya hazır</t>
  </si>
  <si>
    <t xml:space="preserve">24 konuluk içerik takvimi; ACT + BDT makalelerini importer ile yayına al</t>
  </si>
  <si>
    <t xml:space="preserve">2 rehber yayında</t>
  </si>
  <si>
    <t xml:space="preserve">Editoryal politika + yazar/tıbbi danışman sayfası; lisanslı psikolog danışman araştırması</t>
  </si>
  <si>
    <t xml:space="preserve">P2</t>
  </si>
  <si>
    <t xml:space="preserve">E-E-A-T temeli</t>
  </si>
  <si>
    <t xml:space="preserve">Veri girişi + outreach için VA/freelancer ilanı ve seçim</t>
  </si>
  <si>
    <t xml:space="preserve">Destek işe alındı</t>
  </si>
  <si>
    <t xml:space="preserve">H2</t>
  </si>
  <si>
    <t xml:space="preserve">10-16 Ağu</t>
  </si>
  <si>
    <t xml:space="preserve">Doğrulama e-postası 1. dalga: 100-150 mevcut profile kişiselleştirilmiş davet</t>
  </si>
  <si>
    <t xml:space="preserve">İlk doğrulamalar gelir</t>
  </si>
  <si>
    <t xml:space="preserve">Anahtar kelime araştırması: şehir×uzmanlık öncelik matrisi; en iyi 20 landing'i güçlendir</t>
  </si>
  <si>
    <t xml:space="preserve">Öncelikli landing listesi + iç link</t>
  </si>
  <si>
    <t xml:space="preserve">2 yeni rehber (anksiyete, depresyon) + kapak görselleri</t>
  </si>
  <si>
    <t xml:space="preserve">4 rehber yayında</t>
  </si>
  <si>
    <t xml:space="preserve">Clarity/analitik ilk okuma: profil &amp; landing dropoff noktaları</t>
  </si>
  <si>
    <t xml:space="preserve">Dönüşüm engelleri listesi</t>
  </si>
  <si>
    <t xml:space="preserve">Tıbbi danışman psikolog ile anlaşma (retainer/makale başı)</t>
  </si>
  <si>
    <t xml:space="preserve">Danışan onayı süreci başlar</t>
  </si>
  <si>
    <t xml:space="preserve">VA onboarding: veri temizliği + outreach listesi genişletme</t>
  </si>
  <si>
    <t xml:space="preserve">Liste 300+ kişi</t>
  </si>
  <si>
    <t xml:space="preserve">H3</t>
  </si>
  <si>
    <t xml:space="preserve">17-23 Ağu</t>
  </si>
  <si>
    <t xml:space="preserve">'Uzman Üye Ol' tanıtımı: psikolog FB grupları, Instagram, LinkedIn + erken üye teşviki</t>
  </si>
  <si>
    <t xml:space="preserve">İlk self-registration başvuruları</t>
  </si>
  <si>
    <t xml:space="preserve">Doğrulama 2. dalga + 1. dalga takip</t>
  </si>
  <si>
    <t xml:space="preserve">Doğrulanmış profil artışı</t>
  </si>
  <si>
    <t xml:space="preserve">GEO optimizasyonu: net 'nedir/nasıl' cevap blokları, karşılaştırma tabloları, schema doğrulama</t>
  </si>
  <si>
    <t xml:space="preserve">AI aramada görünürlük temeli</t>
  </si>
  <si>
    <t xml:space="preserve">2 yeni rehber (panik atak, online terapi)</t>
  </si>
  <si>
    <t xml:space="preserve">6 rehber yayında</t>
  </si>
  <si>
    <t xml:space="preserve">Lead formu dönüşüm iyileştirmesi (alan azalt, güven rozeti, mobil)</t>
  </si>
  <si>
    <t xml:space="preserve">Form dönüşümü ↑</t>
  </si>
  <si>
    <t xml:space="preserve">İlk 3 makaleye tıbbi danışman onayı + 'incelendi' imzası</t>
  </si>
  <si>
    <t xml:space="preserve">Onaylı içerik rozeti</t>
  </si>
  <si>
    <t xml:space="preserve">H4</t>
  </si>
  <si>
    <t xml:space="preserve">24-30 Ağu</t>
  </si>
  <si>
    <t xml:space="preserve">1000 hedefi: yeni terapist cold outreach + doğrulama 3. dalga</t>
  </si>
  <si>
    <t xml:space="preserve">Toplam profil 850+</t>
  </si>
  <si>
    <t xml:space="preserve">Backlink/PR: 5-10 dizin/rehber kaydı + 1 işbirliği/basın</t>
  </si>
  <si>
    <t xml:space="preserve">İlk kaliteli backlink'ler</t>
  </si>
  <si>
    <t xml:space="preserve">2 yeni rehber (çift terapisi, EMDR)</t>
  </si>
  <si>
    <t xml:space="preserve">8-10 rehber yayında</t>
  </si>
  <si>
    <t xml:space="preserve">Terapist eşleştirme quiz'i spec &amp; tasarım (Faz 2'de geliştirilecek)</t>
  </si>
  <si>
    <t xml:space="preserve">Quiz akış planı hazır</t>
  </si>
  <si>
    <t xml:space="preserve">Faz 1 retrospektifi + KPI güncelle</t>
  </si>
  <si>
    <t xml:space="preserve">30 gün skor kartı</t>
  </si>
  <si>
    <t xml:space="preserve">Rakip fiyat/model araştırması + gelir modeli seçenekleri notu</t>
  </si>
  <si>
    <t xml:space="preserve">P3</t>
  </si>
  <si>
    <t xml:space="preserve">Gelir modeli kısa listesi</t>
  </si>
  <si>
    <t xml:space="preserve">H5</t>
  </si>
  <si>
    <t xml:space="preserve">31A-06E</t>
  </si>
  <si>
    <t xml:space="preserve">Faz 2</t>
  </si>
  <si>
    <t xml:space="preserve">Terapist eşleştirme quiz'ini geliştir (danışana en uygun uzmanı öner)</t>
  </si>
  <si>
    <t xml:space="preserve">Farklılaşma + yeni lead kanalı</t>
  </si>
  <si>
    <t xml:space="preserve">İlk ücretli test: Google Arama reklamı yüksek niyetli 'şehir+psikolog' terimlerinde</t>
  </si>
  <si>
    <t xml:space="preserve">CPL/CPC verisi (bütçe 1.500 TL)</t>
  </si>
  <si>
    <t xml:space="preserve">2 rehber (terapi ücretleri, terapist nasıl seçilir — dönüşüm odaklı)</t>
  </si>
  <si>
    <t xml:space="preserve">12 rehber yayında</t>
  </si>
  <si>
    <t xml:space="preserve">Doğrulama takip + yeni dalga (hedef 60+ doğrulanmış)</t>
  </si>
  <si>
    <t xml:space="preserve">Doğrulanmış 60+</t>
  </si>
  <si>
    <t xml:space="preserve">Tüm yeni makalelerde yazar + danışan onayı standardı</t>
  </si>
  <si>
    <t xml:space="preserve">Tutarlı E-E-A-T</t>
  </si>
  <si>
    <t xml:space="preserve">H6</t>
  </si>
  <si>
    <t xml:space="preserve">07-13 Eyl</t>
  </si>
  <si>
    <t xml:space="preserve">Quiz'i canlıya al + ana sayfa/hero'ya entegre et</t>
  </si>
  <si>
    <t xml:space="preserve">Quiz canlı</t>
  </si>
  <si>
    <t xml:space="preserve">Reklam optimizasyonu + landing dönüşüm A/B (CTA, form)</t>
  </si>
  <si>
    <t xml:space="preserve">CPL ↓, dönüşüm ↑</t>
  </si>
  <si>
    <t xml:space="preserve">2 rehber (çocuk psikolojisi, sınav kaygısı)</t>
  </si>
  <si>
    <t xml:space="preserve">14 rehber yayında</t>
  </si>
  <si>
    <t xml:space="preserve">'Öne Çıkan Profil' (Featured) paketi tasarımı + fiyatlandırma</t>
  </si>
  <si>
    <t xml:space="preserve">Paket &amp; fiyat kararı</t>
  </si>
  <si>
    <t xml:space="preserve">Doğrulanmış uzmanlara Featured ön-lansman teklifi (ilgi ölç)</t>
  </si>
  <si>
    <t xml:space="preserve">Pilot ilgi listesi</t>
  </si>
  <si>
    <t xml:space="preserve">H7</t>
  </si>
  <si>
    <t xml:space="preserve">14-20 Eyl</t>
  </si>
  <si>
    <t xml:space="preserve">Featured/premium altyapı geliştirme (admin öne çıkarma + görünürlük)</t>
  </si>
  <si>
    <t xml:space="preserve">Featured teknik hazır</t>
  </si>
  <si>
    <t xml:space="preserve">Konu kümeleri (topic cluster): rehber → landing → terapist iç linkleme</t>
  </si>
  <si>
    <t xml:space="preserve">Otorite &amp; indeksleme ↑</t>
  </si>
  <si>
    <t xml:space="preserve">2 rehber (ilişki/iletişim, stresle başa çıkma)</t>
  </si>
  <si>
    <t xml:space="preserve">16 rehber yayında</t>
  </si>
  <si>
    <t xml:space="preserve">Değerlendirme/yorum sistemi araştırması veya doğrulanmış rozet vurgusu</t>
  </si>
  <si>
    <t xml:space="preserve">Sosyal kanıt planı</t>
  </si>
  <si>
    <t xml:space="preserve">Doğrulama (hedef 90+ doğrulanmış, 950+ profil)</t>
  </si>
  <si>
    <t xml:space="preserve">Doğrulanmış 90+</t>
  </si>
  <si>
    <t xml:space="preserve">H8</t>
  </si>
  <si>
    <t xml:space="preserve">21-27 Eyl</t>
  </si>
  <si>
    <t xml:space="preserve">Featured pilot lansman: 5-10 doğrulanmış uzmana ilk satış denemesi</t>
  </si>
  <si>
    <t xml:space="preserve">İlk ödeyen uzman(lar)</t>
  </si>
  <si>
    <t xml:space="preserve">Reklam sonuç analizi + ölçekleme/durdurma kararı</t>
  </si>
  <si>
    <t xml:space="preserve">Kanal kararı</t>
  </si>
  <si>
    <t xml:space="preserve">2 rehber</t>
  </si>
  <si>
    <t xml:space="preserve">18 rehber yayında</t>
  </si>
  <si>
    <t xml:space="preserve">Faz 2 retrospektifi + KPI</t>
  </si>
  <si>
    <t xml:space="preserve">60 gün skor kartı</t>
  </si>
  <si>
    <t xml:space="preserve">Google Business/harita + sosyal kanıt toplama</t>
  </si>
  <si>
    <t xml:space="preserve">Yerel güven sinyali</t>
  </si>
  <si>
    <t xml:space="preserve">H9</t>
  </si>
  <si>
    <t xml:space="preserve">28E-04E</t>
  </si>
  <si>
    <t xml:space="preserve">Faz 3</t>
  </si>
  <si>
    <t xml:space="preserve">Featured satışını ölçekle + basit faturalama/ödeme akışı</t>
  </si>
  <si>
    <t xml:space="preserve">Ödeyen uzman sayısı ↑</t>
  </si>
  <si>
    <t xml:space="preserve">Dönüşüm optimizasyonu: en çok trafik alan 10 landing'i lead'e göre iyileştir</t>
  </si>
  <si>
    <t xml:space="preserve">Lead dönüşümü ↑</t>
  </si>
  <si>
    <t xml:space="preserve">2 rehber (yüksek dönüşümlü konular)</t>
  </si>
  <si>
    <t xml:space="preserve">20 rehber yayında</t>
  </si>
  <si>
    <t xml:space="preserve">İletişim akışını sadeleştir; WhatsApp/telefon CTA testi</t>
  </si>
  <si>
    <t xml:space="preserve">İletişim oranı ↑</t>
  </si>
  <si>
    <t xml:space="preserve">H10</t>
  </si>
  <si>
    <t xml:space="preserve">05-11 Eki</t>
  </si>
  <si>
    <t xml:space="preserve">1000 profil hedefini kapat + doğrulama %25+ hedefi</t>
  </si>
  <si>
    <t xml:space="preserve">1000+ profil</t>
  </si>
  <si>
    <t xml:space="preserve">Backlink 2. dalga + PR (otorite artışı)</t>
  </si>
  <si>
    <t xml:space="preserve">Domain otoritesi ↑</t>
  </si>
  <si>
    <t xml:space="preserve">22 rehber yayında</t>
  </si>
  <si>
    <t xml:space="preserve">Pilot geri bildirimine göre fiyat/paket iterasyonu</t>
  </si>
  <si>
    <t xml:space="preserve">Optimize paket</t>
  </si>
  <si>
    <t xml:space="preserve">Quiz + lead performansını ölç ve iyileştir</t>
  </si>
  <si>
    <t xml:space="preserve">Quiz→lead oranı ↑</t>
  </si>
  <si>
    <t xml:space="preserve">H11</t>
  </si>
  <si>
    <t xml:space="preserve">12-18 Eki</t>
  </si>
  <si>
    <t xml:space="preserve">GEO 2. tur: AI arama görünürlüğü + öne çıkan snippet hedefleri</t>
  </si>
  <si>
    <t xml:space="preserve">AI/snippet görünürlüğü</t>
  </si>
  <si>
    <t xml:space="preserve">2 rehber + en iyi 5 makaleyi güncelle/derinleştir</t>
  </si>
  <si>
    <t xml:space="preserve">24 rehber + tazeleme</t>
  </si>
  <si>
    <t xml:space="preserve">Gelir raporu + 2. gelir kalemi fikri (lead başı / sponsorlu içerik)</t>
  </si>
  <si>
    <t xml:space="preserve">Gelir çeşitlendirme notu</t>
  </si>
  <si>
    <t xml:space="preserve">Doğrulanmış uzman başarı hikayeleri / testimonial topla</t>
  </si>
  <si>
    <t xml:space="preserve">Sosyal kanıt varlıkları</t>
  </si>
  <si>
    <t xml:space="preserve">Performans / Core Web Vitals iyileştirmesi</t>
  </si>
  <si>
    <t xml:space="preserve">Sayfa hızı ↑</t>
  </si>
  <si>
    <t xml:space="preserve">H12</t>
  </si>
  <si>
    <t xml:space="preserve">19-25 Eki</t>
  </si>
  <si>
    <t xml:space="preserve">90 günlük tam retrospektif: tüm KPI'lar, ne işe yaradı/yaramadı</t>
  </si>
  <si>
    <t xml:space="preserve">90 gün skor kartı</t>
  </si>
  <si>
    <t xml:space="preserve">Q4 gelir planı + fiyatlandırma finalize</t>
  </si>
  <si>
    <t xml:space="preserve">Gelir yol haritası</t>
  </si>
  <si>
    <t xml:space="preserve">Sonraki 90 gün SEO/GEO yol haritası taslağı</t>
  </si>
  <si>
    <t xml:space="preserve">Sonraki çeyrek planı</t>
  </si>
  <si>
    <t xml:space="preserve">2 rehber + sonraki çeyrek içerik takvimi</t>
  </si>
  <si>
    <t xml:space="preserve">26 rehber yayında</t>
  </si>
  <si>
    <t xml:space="preserve">Sonraki büyüme kanalları planı (partnership, üniversite, dernek)</t>
  </si>
  <si>
    <t xml:space="preserve">Kanal genişleme planı</t>
  </si>
  <si>
    <t xml:space="preserve">TOPLAM PLANLI SAAT</t>
  </si>
  <si>
    <t xml:space="preserve">AYLIK BÜTÇE PLANI (~7.000 TL/ay)</t>
  </si>
  <si>
    <t xml:space="preserve">Kalem</t>
  </si>
  <si>
    <t xml:space="preserve">Açıklama</t>
  </si>
  <si>
    <t xml:space="preserve">Ay 1 (TL)</t>
  </si>
  <si>
    <t xml:space="preserve">Ay 2 (TL)</t>
  </si>
  <si>
    <t xml:space="preserve">Ay 3 (TL)</t>
  </si>
  <si>
    <t xml:space="preserve">Toplam (TL)</t>
  </si>
  <si>
    <t xml:space="preserve">VA / Freelancer</t>
  </si>
  <si>
    <t xml:space="preserve">Veri girişi, profil temizliği, outreach</t>
  </si>
  <si>
    <t xml:space="preserve">Tıbbi danışman (psikolog)</t>
  </si>
  <si>
    <t xml:space="preserve">İçerik onayı / E-E-A-T retainer</t>
  </si>
  <si>
    <t xml:space="preserve">Araçlar</t>
  </si>
  <si>
    <t xml:space="preserve">Rank tracker, e-posta outreach, görsel (Clarity ücretsiz)</t>
  </si>
  <si>
    <t xml:space="preserve">Ücretli reklam testi</t>
  </si>
  <si>
    <t xml:space="preserve">Google Arama (Faz 1'de 0, Faz 2'den itibaren)</t>
  </si>
  <si>
    <t xml:space="preserve">Tampon / fırsat</t>
  </si>
  <si>
    <t xml:space="preserve">Backlink, PR, beklenmedik</t>
  </si>
  <si>
    <t xml:space="preserve">TOPLAM</t>
  </si>
  <si>
    <t xml:space="preserve">Not: Ay 1'de reklam yerine tampon/backlink'e ağırlık; Faz 2'den itibaren ücretli test devreye girer. Rakamlar TL ve tahminidir; sarı hücreler kendi gerçek maliyetinle güncellenmelidir.</t>
  </si>
  <si>
    <t xml:space="preserve">KPI TAKİP — 30 / 60 / 90 GÜN HEDEFLERİ</t>
  </si>
  <si>
    <t xml:space="preserve">Metrik</t>
  </si>
  <si>
    <t xml:space="preserve">Başlangıç (bugün)</t>
  </si>
  <si>
    <t xml:space="preserve">30 gün</t>
  </si>
  <si>
    <t xml:space="preserve">60 gün</t>
  </si>
  <si>
    <t xml:space="preserve">90 gün</t>
  </si>
  <si>
    <t xml:space="preserve">Gerçekleşen (güncelle)</t>
  </si>
  <si>
    <t xml:space="preserve">Toplam profil</t>
  </si>
  <si>
    <t xml:space="preserve">763</t>
  </si>
  <si>
    <t xml:space="preserve">850</t>
  </si>
  <si>
    <t xml:space="preserve">950</t>
  </si>
  <si>
    <t xml:space="preserve">1.000+</t>
  </si>
  <si>
    <t xml:space="preserve">Doğrulanmış profil</t>
  </si>
  <si>
    <t xml:space="preserve">0</t>
  </si>
  <si>
    <t xml:space="preserve">40</t>
  </si>
  <si>
    <t xml:space="preserve">90</t>
  </si>
  <si>
    <t xml:space="preserve">150+</t>
  </si>
  <si>
    <t xml:space="preserve">Yayınlanan rehber</t>
  </si>
  <si>
    <t xml:space="preserve">2</t>
  </si>
  <si>
    <t xml:space="preserve">10</t>
  </si>
  <si>
    <t xml:space="preserve">18</t>
  </si>
  <si>
    <t xml:space="preserve">26</t>
  </si>
  <si>
    <t xml:space="preserve">Aylık organik ziyaret</t>
  </si>
  <si>
    <t xml:space="preserve">ölç (baseline)</t>
  </si>
  <si>
    <t xml:space="preserve">+%25</t>
  </si>
  <si>
    <t xml:space="preserve">+%75</t>
  </si>
  <si>
    <t xml:space="preserve">+%150</t>
  </si>
  <si>
    <t xml:space="preserve">İndekslenen landing sayfası</t>
  </si>
  <si>
    <t xml:space="preserve">ölç</t>
  </si>
  <si>
    <t xml:space="preserve">artış</t>
  </si>
  <si>
    <t xml:space="preserve">Aylık danışan talebi (lead)</t>
  </si>
  <si>
    <t xml:space="preserve">+%30</t>
  </si>
  <si>
    <t xml:space="preserve">+%80</t>
  </si>
  <si>
    <t xml:space="preserve">Ödeyen uzman (Featured)</t>
  </si>
  <si>
    <t xml:space="preserve">5</t>
  </si>
  <si>
    <t xml:space="preserve">20+</t>
  </si>
  <si>
    <t xml:space="preserve">Aylık gelir (TL)</t>
  </si>
  <si>
    <t xml:space="preserve">pilot</t>
  </si>
  <si>
    <t xml:space="preserve">hedef belirle</t>
  </si>
  <si>
    <t xml:space="preserve">Her hafta sonu 'Gerçekleşen' sütununu güncelle. Sarı hücreler senin ölçümlerinle doldurulacak. Organik ziyaret &amp; lead için önce baseline'ı (bu haftaki değeri) ölç.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</si>
</sst>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A3D"/>
        <bgColor rgb="FF003366"/>
      </patternFill>
    </fill>
    <fill>
      <patternFill patternType="solid">
        <fgColor rgb="FFEAF3F3"/>
        <bgColor rgb="FFECECEC"/>
      </patternFill>
    </fill>
    <fill>
      <patternFill patternType="solid">
        <fgColor rgb="FF316C6F"/>
        <bgColor rgb="FF008080"/>
      </patternFill>
    </fill>
    <fill>
      <patternFill patternType="solid">
        <fgColor rgb="FFDCE9F5"/>
        <bgColor rgb="FFD9EAE3"/>
      </patternFill>
    </fill>
    <fill>
      <patternFill patternType="solid">
        <fgColor rgb="FFE2F0D9"/>
        <bgColor rgb="FFD9EAE3"/>
      </patternFill>
    </fill>
    <fill>
      <patternFill patternType="solid">
        <fgColor rgb="FFFFF2CC"/>
        <bgColor rgb="FFFFF7E6"/>
      </patternFill>
    </fill>
    <fill>
      <patternFill patternType="solid">
        <fgColor rgb="FFFCE4D6"/>
        <bgColor rgb="FFFFF2CC"/>
      </patternFill>
    </fill>
    <fill>
      <patternFill patternType="solid">
        <fgColor rgb="FFE7DCF3"/>
        <bgColor rgb="FFDCE9F5"/>
      </patternFill>
    </fill>
    <fill>
      <patternFill patternType="solid">
        <fgColor rgb="FFD9EAE3"/>
        <bgColor rgb="FFDCE9F5"/>
      </patternFill>
    </fill>
    <fill>
      <patternFill patternType="solid">
        <fgColor rgb="FFECECEC"/>
        <bgColor rgb="FFEAF3F3"/>
      </patternFill>
    </fill>
    <fill>
      <patternFill patternType="solid">
        <fgColor rgb="FFFFF7E6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7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7"/>
      </left>
      <right/>
      <top style="thin">
        <color rgb="FFD0D7D7"/>
      </top>
      <bottom style="thin">
        <color rgb="FFD0D7D7"/>
      </bottom>
      <diagonal/>
    </border>
    <border diagonalUp="false" diagonalDown="false"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7E6"/>
      <rgbColor rgb="FFFF00FF"/>
      <rgbColor rgb="FF00FFFF"/>
      <rgbColor rgb="FF800000"/>
      <rgbColor rgb="FF008000"/>
      <rgbColor rgb="FF000080"/>
      <rgbColor rgb="FF808000"/>
      <rgbColor rgb="FF800080"/>
      <rgbColor rgb="FF316C6F"/>
      <rgbColor rgb="FFE7DCF3"/>
      <rgbColor rgb="FF808080"/>
      <rgbColor rgb="FF9999FF"/>
      <rgbColor rgb="FF993366"/>
      <rgbColor rgb="FFFFFDE7"/>
      <rgbColor rgb="FFEAF3F3"/>
      <rgbColor rgb="FF660066"/>
      <rgbColor rgb="FFFF8080"/>
      <rgbColor rgb="FF0066CC"/>
      <rgbColor rgb="FFD0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5"/>
      <rgbColor rgb="FFE2F0D9"/>
      <rgbColor rgb="FFFFF2CC"/>
      <rgbColor rgb="FFD9EAE3"/>
      <rgbColor rgb="FFECECE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1F3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10"/>
    <col collapsed="false" customWidth="true" hidden="false" outlineLevel="0" max="8" min="7" style="0" width="12"/>
  </cols>
  <sheetData>
    <row r="2" customFormat="false" ht="17.3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3.8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23.8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8" customFormat="false" ht="15" hidden="false" customHeight="true" outlineLevel="0" collapsed="false">
      <c r="B8" s="3" t="s">
        <v>4</v>
      </c>
      <c r="C8" s="3"/>
      <c r="D8" s="3"/>
      <c r="E8" s="3"/>
      <c r="F8" s="3"/>
      <c r="G8" s="3"/>
      <c r="H8" s="3"/>
    </row>
    <row r="9" customFormat="false" ht="22.35" hidden="false" customHeight="true" outlineLevel="0" collapsed="false">
      <c r="B9" s="5" t="s">
        <v>5</v>
      </c>
      <c r="C9" s="5"/>
      <c r="D9" s="6" t="s">
        <v>6</v>
      </c>
      <c r="E9" s="7" t="s">
        <v>7</v>
      </c>
      <c r="F9" s="7"/>
      <c r="G9" s="7"/>
      <c r="H9" s="7"/>
    </row>
    <row r="10" customFormat="false" ht="22.35" hidden="false" customHeight="true" outlineLevel="0" collapsed="false">
      <c r="B10" s="5" t="s">
        <v>8</v>
      </c>
      <c r="C10" s="5"/>
      <c r="D10" s="6" t="s">
        <v>9</v>
      </c>
      <c r="E10" s="7" t="s">
        <v>10</v>
      </c>
      <c r="F10" s="7"/>
      <c r="G10" s="7"/>
      <c r="H10" s="7"/>
    </row>
    <row r="11" customFormat="false" ht="22.35" hidden="false" customHeight="true" outlineLevel="0" collapsed="false">
      <c r="B11" s="5" t="s">
        <v>11</v>
      </c>
      <c r="C11" s="5"/>
      <c r="D11" s="6" t="s">
        <v>12</v>
      </c>
      <c r="E11" s="7" t="s">
        <v>13</v>
      </c>
      <c r="F11" s="7"/>
      <c r="G11" s="7"/>
      <c r="H11" s="7"/>
    </row>
    <row r="13" customFormat="false" ht="15" hidden="false" customHeight="true" outlineLevel="0" collapsed="false">
      <c r="B13" s="3" t="s">
        <v>14</v>
      </c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B14" s="8" t="s">
        <v>15</v>
      </c>
      <c r="C14" s="9" t="s">
        <v>16</v>
      </c>
      <c r="D14" s="9"/>
      <c r="E14" s="9"/>
      <c r="F14" s="9"/>
      <c r="G14" s="8" t="s">
        <v>17</v>
      </c>
      <c r="H14" s="8" t="s">
        <v>18</v>
      </c>
    </row>
    <row r="15" customFormat="false" ht="15" hidden="false" customHeight="true" outlineLevel="0" collapsed="false">
      <c r="B15" s="10" t="s">
        <v>19</v>
      </c>
      <c r="C15" s="7" t="s">
        <v>20</v>
      </c>
      <c r="D15" s="7"/>
      <c r="E15" s="7"/>
      <c r="F15" s="7"/>
      <c r="G15" s="11" t="n">
        <f aca="false">COUNTIF('12 Haftalık Takvim'!$D$4:$D$400,B15)</f>
        <v>12</v>
      </c>
      <c r="H15" s="11" t="n">
        <f aca="false">SUMIF('12 Haftalık Takvim'!$D$4:$D$400,B15,'12 Haftalık Takvim'!$G$4:$G$400)</f>
        <v>51</v>
      </c>
    </row>
    <row r="16" customFormat="false" ht="15" hidden="false" customHeight="true" outlineLevel="0" collapsed="false">
      <c r="B16" s="12" t="s">
        <v>21</v>
      </c>
      <c r="C16" s="7" t="s">
        <v>22</v>
      </c>
      <c r="D16" s="7"/>
      <c r="E16" s="7"/>
      <c r="F16" s="7"/>
      <c r="G16" s="11" t="n">
        <f aca="false">COUNTIF('12 Haftalık Takvim'!$D$4:$D$400,B16)</f>
        <v>11</v>
      </c>
      <c r="H16" s="11" t="n">
        <f aca="false">SUMIF('12 Haftalık Takvim'!$D$4:$D$400,B16,'12 Haftalık Takvim'!$G$4:$G$400)</f>
        <v>52</v>
      </c>
    </row>
    <row r="17" customFormat="false" ht="15" hidden="false" customHeight="true" outlineLevel="0" collapsed="false">
      <c r="B17" s="13" t="s">
        <v>23</v>
      </c>
      <c r="C17" s="7" t="s">
        <v>24</v>
      </c>
      <c r="D17" s="7"/>
      <c r="E17" s="7"/>
      <c r="F17" s="7"/>
      <c r="G17" s="11" t="n">
        <f aca="false">COUNTIF('12 Haftalık Takvim'!$D$4:$D$400,B17)</f>
        <v>12</v>
      </c>
      <c r="H17" s="11" t="n">
        <f aca="false">SUMIF('12 Haftalık Takvim'!$D$4:$D$400,B17,'12 Haftalık Takvim'!$G$4:$G$400)</f>
        <v>92</v>
      </c>
    </row>
    <row r="18" customFormat="false" ht="15" hidden="false" customHeight="true" outlineLevel="0" collapsed="false">
      <c r="B18" s="14" t="s">
        <v>25</v>
      </c>
      <c r="C18" s="7" t="s">
        <v>26</v>
      </c>
      <c r="D18" s="7"/>
      <c r="E18" s="7"/>
      <c r="F18" s="7"/>
      <c r="G18" s="11" t="n">
        <f aca="false">COUNTIF('12 Haftalık Takvim'!$D$4:$D$400,B18)</f>
        <v>9</v>
      </c>
      <c r="H18" s="11" t="n">
        <f aca="false">SUMIF('12 Haftalık Takvim'!$D$4:$D$400,B18,'12 Haftalık Takvim'!$G$4:$G$400)</f>
        <v>41</v>
      </c>
    </row>
    <row r="19" customFormat="false" ht="15" hidden="false" customHeight="true" outlineLevel="0" collapsed="false">
      <c r="B19" s="15" t="s">
        <v>27</v>
      </c>
      <c r="C19" s="7" t="s">
        <v>28</v>
      </c>
      <c r="D19" s="7"/>
      <c r="E19" s="7"/>
      <c r="F19" s="7"/>
      <c r="G19" s="11" t="n">
        <f aca="false">COUNTIF('12 Haftalık Takvim'!$D$4:$D$400,B19)</f>
        <v>8</v>
      </c>
      <c r="H19" s="11" t="n">
        <f aca="false">SUMIF('12 Haftalık Takvim'!$D$4:$D$400,B19,'12 Haftalık Takvim'!$G$4:$G$400)</f>
        <v>41</v>
      </c>
    </row>
    <row r="20" customFormat="false" ht="15" hidden="false" customHeight="true" outlineLevel="0" collapsed="false">
      <c r="B20" s="16" t="s">
        <v>29</v>
      </c>
      <c r="C20" s="7" t="s">
        <v>30</v>
      </c>
      <c r="D20" s="7"/>
      <c r="E20" s="7"/>
      <c r="F20" s="7"/>
      <c r="G20" s="11" t="n">
        <f aca="false">COUNTIF('12 Haftalık Takvim'!$D$4:$D$400,B20)</f>
        <v>6</v>
      </c>
      <c r="H20" s="11" t="n">
        <f aca="false">SUMIF('12 Haftalık Takvim'!$D$4:$D$400,B20,'12 Haftalık Takvim'!$G$4:$G$400)</f>
        <v>18</v>
      </c>
    </row>
    <row r="21" customFormat="false" ht="15" hidden="false" customHeight="true" outlineLevel="0" collapsed="false">
      <c r="B21" s="17" t="s">
        <v>31</v>
      </c>
      <c r="C21" s="7" t="s">
        <v>32</v>
      </c>
      <c r="D21" s="7"/>
      <c r="E21" s="7"/>
      <c r="F21" s="7"/>
      <c r="G21" s="11" t="n">
        <f aca="false">COUNTIF('12 Haftalık Takvim'!$D$4:$D$400,B21)</f>
        <v>5</v>
      </c>
      <c r="H21" s="11" t="n">
        <f aca="false">SUMIF('12 Haftalık Takvim'!$D$4:$D$400,B21,'12 Haftalık Takvim'!$G$4:$G$400)</f>
        <v>17</v>
      </c>
    </row>
    <row r="23" customFormat="false" ht="22.35" hidden="false" customHeight="true" outlineLevel="0" collapsed="false">
      <c r="B23" s="18" t="s">
        <v>33</v>
      </c>
      <c r="C23" s="18"/>
      <c r="D23" s="18"/>
      <c r="E23" s="18"/>
      <c r="F23" s="18"/>
      <c r="G23" s="18"/>
      <c r="H23" s="18"/>
    </row>
  </sheetData>
  <mergeCells count="21">
    <mergeCell ref="B2:H2"/>
    <mergeCell ref="B3:H3"/>
    <mergeCell ref="B5:H5"/>
    <mergeCell ref="B6:H6"/>
    <mergeCell ref="B8:H8"/>
    <mergeCell ref="B9:C9"/>
    <mergeCell ref="E9:H9"/>
    <mergeCell ref="B10:C10"/>
    <mergeCell ref="E10:H10"/>
    <mergeCell ref="B11:C11"/>
    <mergeCell ref="E11:H11"/>
    <mergeCell ref="B13:H13"/>
    <mergeCell ref="C14:F14"/>
    <mergeCell ref="C15:F15"/>
    <mergeCell ref="C16:F16"/>
    <mergeCell ref="C17:F17"/>
    <mergeCell ref="C18:F18"/>
    <mergeCell ref="C19:F19"/>
    <mergeCell ref="C20:F20"/>
    <mergeCell ref="C21:F21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16.15" hidden="false" customHeight="true" outlineLevel="0" collapsed="false">
      <c r="A1" s="19" t="s">
        <v>34</v>
      </c>
      <c r="B1" s="19"/>
      <c r="C1" s="19"/>
      <c r="D1" s="19"/>
      <c r="E1" s="19"/>
      <c r="F1" s="19"/>
      <c r="G1" s="19"/>
      <c r="H1" s="19"/>
      <c r="I1" s="19"/>
    </row>
    <row r="3" customFormat="false" ht="15" hidden="false" customHeight="false" outlineLevel="0" collapsed="false">
      <c r="A3" s="8" t="s">
        <v>35</v>
      </c>
      <c r="B3" s="8" t="s">
        <v>36</v>
      </c>
      <c r="C3" s="8" t="s">
        <v>37</v>
      </c>
      <c r="D3" s="8" t="s">
        <v>15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</row>
    <row r="4" customFormat="false" ht="35.05" hidden="false" customHeight="false" outlineLevel="0" collapsed="false">
      <c r="A4" s="20" t="s">
        <v>43</v>
      </c>
      <c r="B4" s="6" t="s">
        <v>44</v>
      </c>
      <c r="C4" s="6" t="s">
        <v>45</v>
      </c>
      <c r="D4" s="21" t="s">
        <v>31</v>
      </c>
      <c r="E4" s="22" t="s">
        <v>46</v>
      </c>
      <c r="F4" s="23" t="s">
        <v>47</v>
      </c>
      <c r="G4" s="24" t="n">
        <v>3</v>
      </c>
      <c r="H4" s="25" t="s">
        <v>48</v>
      </c>
      <c r="I4" s="26" t="s">
        <v>49</v>
      </c>
    </row>
    <row r="5" customFormat="false" ht="23.85" hidden="false" customHeight="false" outlineLevel="0" collapsed="false">
      <c r="A5" s="20" t="s">
        <v>43</v>
      </c>
      <c r="B5" s="6" t="s">
        <v>44</v>
      </c>
      <c r="C5" s="6" t="s">
        <v>45</v>
      </c>
      <c r="D5" s="21" t="s">
        <v>31</v>
      </c>
      <c r="E5" s="22" t="s">
        <v>50</v>
      </c>
      <c r="F5" s="23" t="s">
        <v>47</v>
      </c>
      <c r="G5" s="24" t="n">
        <v>4</v>
      </c>
      <c r="H5" s="25" t="s">
        <v>51</v>
      </c>
      <c r="I5" s="26" t="s">
        <v>49</v>
      </c>
    </row>
    <row r="6" customFormat="false" ht="23.85" hidden="false" customHeight="false" outlineLevel="0" collapsed="false">
      <c r="A6" s="20" t="s">
        <v>43</v>
      </c>
      <c r="B6" s="6" t="s">
        <v>44</v>
      </c>
      <c r="C6" s="6" t="s">
        <v>45</v>
      </c>
      <c r="D6" s="27" t="s">
        <v>19</v>
      </c>
      <c r="E6" s="22" t="s">
        <v>52</v>
      </c>
      <c r="F6" s="23" t="s">
        <v>47</v>
      </c>
      <c r="G6" s="24" t="n">
        <v>6</v>
      </c>
      <c r="H6" s="25" t="s">
        <v>53</v>
      </c>
      <c r="I6" s="26" t="s">
        <v>49</v>
      </c>
    </row>
    <row r="7" customFormat="false" ht="23.85" hidden="false" customHeight="false" outlineLevel="0" collapsed="false">
      <c r="A7" s="20" t="s">
        <v>43</v>
      </c>
      <c r="B7" s="6" t="s">
        <v>44</v>
      </c>
      <c r="C7" s="6" t="s">
        <v>45</v>
      </c>
      <c r="D7" s="28" t="s">
        <v>23</v>
      </c>
      <c r="E7" s="22" t="s">
        <v>54</v>
      </c>
      <c r="F7" s="23" t="s">
        <v>47</v>
      </c>
      <c r="G7" s="24" t="n">
        <v>6</v>
      </c>
      <c r="H7" s="25" t="s">
        <v>55</v>
      </c>
      <c r="I7" s="26" t="s">
        <v>49</v>
      </c>
    </row>
    <row r="8" customFormat="false" ht="23.85" hidden="false" customHeight="false" outlineLevel="0" collapsed="false">
      <c r="A8" s="20" t="s">
        <v>43</v>
      </c>
      <c r="B8" s="6" t="s">
        <v>44</v>
      </c>
      <c r="C8" s="6" t="s">
        <v>45</v>
      </c>
      <c r="D8" s="29" t="s">
        <v>29</v>
      </c>
      <c r="E8" s="22" t="s">
        <v>56</v>
      </c>
      <c r="F8" s="30" t="s">
        <v>57</v>
      </c>
      <c r="G8" s="24" t="n">
        <v>4</v>
      </c>
      <c r="H8" s="25" t="s">
        <v>58</v>
      </c>
      <c r="I8" s="26" t="s">
        <v>49</v>
      </c>
    </row>
    <row r="9" customFormat="false" ht="15" hidden="false" customHeight="false" outlineLevel="0" collapsed="false">
      <c r="A9" s="20" t="s">
        <v>43</v>
      </c>
      <c r="B9" s="6" t="s">
        <v>44</v>
      </c>
      <c r="C9" s="6" t="s">
        <v>45</v>
      </c>
      <c r="D9" s="27" t="s">
        <v>19</v>
      </c>
      <c r="E9" s="22" t="s">
        <v>59</v>
      </c>
      <c r="F9" s="30" t="s">
        <v>57</v>
      </c>
      <c r="G9" s="24" t="n">
        <v>3</v>
      </c>
      <c r="H9" s="25" t="s">
        <v>60</v>
      </c>
      <c r="I9" s="26" t="s">
        <v>49</v>
      </c>
    </row>
    <row r="10" customFormat="false" ht="23.85" hidden="false" customHeight="false" outlineLevel="0" collapsed="false">
      <c r="A10" s="31" t="s">
        <v>61</v>
      </c>
      <c r="B10" s="6" t="s">
        <v>62</v>
      </c>
      <c r="C10" s="6" t="s">
        <v>45</v>
      </c>
      <c r="D10" s="27" t="s">
        <v>19</v>
      </c>
      <c r="E10" s="22" t="s">
        <v>63</v>
      </c>
      <c r="F10" s="23" t="s">
        <v>47</v>
      </c>
      <c r="G10" s="24" t="n">
        <v>6</v>
      </c>
      <c r="H10" s="25" t="s">
        <v>64</v>
      </c>
      <c r="I10" s="26" t="s">
        <v>49</v>
      </c>
    </row>
    <row r="11" customFormat="false" ht="23.85" hidden="false" customHeight="false" outlineLevel="0" collapsed="false">
      <c r="A11" s="31" t="s">
        <v>61</v>
      </c>
      <c r="B11" s="6" t="s">
        <v>62</v>
      </c>
      <c r="C11" s="6" t="s">
        <v>45</v>
      </c>
      <c r="D11" s="32" t="s">
        <v>21</v>
      </c>
      <c r="E11" s="22" t="s">
        <v>65</v>
      </c>
      <c r="F11" s="23" t="s">
        <v>47</v>
      </c>
      <c r="G11" s="24" t="n">
        <v>6</v>
      </c>
      <c r="H11" s="25" t="s">
        <v>66</v>
      </c>
      <c r="I11" s="26" t="s">
        <v>49</v>
      </c>
    </row>
    <row r="12" customFormat="false" ht="15" hidden="false" customHeight="false" outlineLevel="0" collapsed="false">
      <c r="A12" s="31" t="s">
        <v>61</v>
      </c>
      <c r="B12" s="6" t="s">
        <v>62</v>
      </c>
      <c r="C12" s="6" t="s">
        <v>45</v>
      </c>
      <c r="D12" s="28" t="s">
        <v>23</v>
      </c>
      <c r="E12" s="22" t="s">
        <v>67</v>
      </c>
      <c r="F12" s="23" t="s">
        <v>47</v>
      </c>
      <c r="G12" s="24" t="n">
        <v>8</v>
      </c>
      <c r="H12" s="25" t="s">
        <v>68</v>
      </c>
      <c r="I12" s="26" t="s">
        <v>49</v>
      </c>
    </row>
    <row r="13" customFormat="false" ht="23.85" hidden="false" customHeight="false" outlineLevel="0" collapsed="false">
      <c r="A13" s="31" t="s">
        <v>61</v>
      </c>
      <c r="B13" s="6" t="s">
        <v>62</v>
      </c>
      <c r="C13" s="6" t="s">
        <v>45</v>
      </c>
      <c r="D13" s="33" t="s">
        <v>25</v>
      </c>
      <c r="E13" s="22" t="s">
        <v>69</v>
      </c>
      <c r="F13" s="30" t="s">
        <v>57</v>
      </c>
      <c r="G13" s="24" t="n">
        <v>3</v>
      </c>
      <c r="H13" s="25" t="s">
        <v>70</v>
      </c>
      <c r="I13" s="26" t="s">
        <v>49</v>
      </c>
    </row>
    <row r="14" customFormat="false" ht="23.85" hidden="false" customHeight="false" outlineLevel="0" collapsed="false">
      <c r="A14" s="31" t="s">
        <v>61</v>
      </c>
      <c r="B14" s="6" t="s">
        <v>62</v>
      </c>
      <c r="C14" s="6" t="s">
        <v>45</v>
      </c>
      <c r="D14" s="29" t="s">
        <v>29</v>
      </c>
      <c r="E14" s="22" t="s">
        <v>71</v>
      </c>
      <c r="F14" s="30" t="s">
        <v>57</v>
      </c>
      <c r="G14" s="24" t="n">
        <v>3</v>
      </c>
      <c r="H14" s="25" t="s">
        <v>72</v>
      </c>
      <c r="I14" s="26" t="s">
        <v>49</v>
      </c>
    </row>
    <row r="15" customFormat="false" ht="23.85" hidden="false" customHeight="false" outlineLevel="0" collapsed="false">
      <c r="A15" s="31" t="s">
        <v>61</v>
      </c>
      <c r="B15" s="6" t="s">
        <v>62</v>
      </c>
      <c r="C15" s="6" t="s">
        <v>45</v>
      </c>
      <c r="D15" s="27" t="s">
        <v>19</v>
      </c>
      <c r="E15" s="22" t="s">
        <v>73</v>
      </c>
      <c r="F15" s="30" t="s">
        <v>57</v>
      </c>
      <c r="G15" s="24" t="n">
        <v>3</v>
      </c>
      <c r="H15" s="25" t="s">
        <v>74</v>
      </c>
      <c r="I15" s="26" t="s">
        <v>49</v>
      </c>
    </row>
    <row r="16" customFormat="false" ht="23.85" hidden="false" customHeight="false" outlineLevel="0" collapsed="false">
      <c r="A16" s="20" t="s">
        <v>75</v>
      </c>
      <c r="B16" s="6" t="s">
        <v>76</v>
      </c>
      <c r="C16" s="6" t="s">
        <v>45</v>
      </c>
      <c r="D16" s="27" t="s">
        <v>19</v>
      </c>
      <c r="E16" s="22" t="s">
        <v>77</v>
      </c>
      <c r="F16" s="23" t="s">
        <v>47</v>
      </c>
      <c r="G16" s="24" t="n">
        <v>5</v>
      </c>
      <c r="H16" s="25" t="s">
        <v>78</v>
      </c>
      <c r="I16" s="26" t="s">
        <v>49</v>
      </c>
    </row>
    <row r="17" customFormat="false" ht="15" hidden="false" customHeight="false" outlineLevel="0" collapsed="false">
      <c r="A17" s="20" t="s">
        <v>75</v>
      </c>
      <c r="B17" s="6" t="s">
        <v>76</v>
      </c>
      <c r="C17" s="6" t="s">
        <v>45</v>
      </c>
      <c r="D17" s="27" t="s">
        <v>19</v>
      </c>
      <c r="E17" s="22" t="s">
        <v>79</v>
      </c>
      <c r="F17" s="23" t="s">
        <v>47</v>
      </c>
      <c r="G17" s="24" t="n">
        <v>4</v>
      </c>
      <c r="H17" s="25" t="s">
        <v>80</v>
      </c>
      <c r="I17" s="26" t="s">
        <v>49</v>
      </c>
    </row>
    <row r="18" customFormat="false" ht="23.85" hidden="false" customHeight="false" outlineLevel="0" collapsed="false">
      <c r="A18" s="20" t="s">
        <v>75</v>
      </c>
      <c r="B18" s="6" t="s">
        <v>76</v>
      </c>
      <c r="C18" s="6" t="s">
        <v>45</v>
      </c>
      <c r="D18" s="32" t="s">
        <v>21</v>
      </c>
      <c r="E18" s="22" t="s">
        <v>81</v>
      </c>
      <c r="F18" s="23" t="s">
        <v>47</v>
      </c>
      <c r="G18" s="24" t="n">
        <v>6</v>
      </c>
      <c r="H18" s="25" t="s">
        <v>82</v>
      </c>
      <c r="I18" s="26" t="s">
        <v>49</v>
      </c>
    </row>
    <row r="19" customFormat="false" ht="15" hidden="false" customHeight="false" outlineLevel="0" collapsed="false">
      <c r="A19" s="20" t="s">
        <v>75</v>
      </c>
      <c r="B19" s="6" t="s">
        <v>76</v>
      </c>
      <c r="C19" s="6" t="s">
        <v>45</v>
      </c>
      <c r="D19" s="28" t="s">
        <v>23</v>
      </c>
      <c r="E19" s="22" t="s">
        <v>83</v>
      </c>
      <c r="F19" s="23" t="s">
        <v>47</v>
      </c>
      <c r="G19" s="24" t="n">
        <v>8</v>
      </c>
      <c r="H19" s="25" t="s">
        <v>84</v>
      </c>
      <c r="I19" s="26" t="s">
        <v>49</v>
      </c>
    </row>
    <row r="20" customFormat="false" ht="23.85" hidden="false" customHeight="false" outlineLevel="0" collapsed="false">
      <c r="A20" s="20" t="s">
        <v>75</v>
      </c>
      <c r="B20" s="6" t="s">
        <v>76</v>
      </c>
      <c r="C20" s="6" t="s">
        <v>45</v>
      </c>
      <c r="D20" s="33" t="s">
        <v>25</v>
      </c>
      <c r="E20" s="22" t="s">
        <v>85</v>
      </c>
      <c r="F20" s="30" t="s">
        <v>57</v>
      </c>
      <c r="G20" s="24" t="n">
        <v>4</v>
      </c>
      <c r="H20" s="25" t="s">
        <v>86</v>
      </c>
      <c r="I20" s="26" t="s">
        <v>49</v>
      </c>
    </row>
    <row r="21" customFormat="false" ht="15" hidden="false" customHeight="false" outlineLevel="0" collapsed="false">
      <c r="A21" s="20" t="s">
        <v>75</v>
      </c>
      <c r="B21" s="6" t="s">
        <v>76</v>
      </c>
      <c r="C21" s="6" t="s">
        <v>45</v>
      </c>
      <c r="D21" s="29" t="s">
        <v>29</v>
      </c>
      <c r="E21" s="22" t="s">
        <v>87</v>
      </c>
      <c r="F21" s="30" t="s">
        <v>57</v>
      </c>
      <c r="G21" s="24" t="n">
        <v>3</v>
      </c>
      <c r="H21" s="25" t="s">
        <v>88</v>
      </c>
      <c r="I21" s="26" t="s">
        <v>49</v>
      </c>
    </row>
    <row r="22" customFormat="false" ht="23.85" hidden="false" customHeight="false" outlineLevel="0" collapsed="false">
      <c r="A22" s="31" t="s">
        <v>89</v>
      </c>
      <c r="B22" s="6" t="s">
        <v>90</v>
      </c>
      <c r="C22" s="6" t="s">
        <v>45</v>
      </c>
      <c r="D22" s="27" t="s">
        <v>19</v>
      </c>
      <c r="E22" s="22" t="s">
        <v>91</v>
      </c>
      <c r="F22" s="23" t="s">
        <v>47</v>
      </c>
      <c r="G22" s="24" t="n">
        <v>6</v>
      </c>
      <c r="H22" s="25" t="s">
        <v>92</v>
      </c>
      <c r="I22" s="26" t="s">
        <v>49</v>
      </c>
    </row>
    <row r="23" customFormat="false" ht="15" hidden="false" customHeight="false" outlineLevel="0" collapsed="false">
      <c r="A23" s="31" t="s">
        <v>89</v>
      </c>
      <c r="B23" s="6" t="s">
        <v>90</v>
      </c>
      <c r="C23" s="6" t="s">
        <v>45</v>
      </c>
      <c r="D23" s="32" t="s">
        <v>21</v>
      </c>
      <c r="E23" s="22" t="s">
        <v>93</v>
      </c>
      <c r="F23" s="30" t="s">
        <v>57</v>
      </c>
      <c r="G23" s="24" t="n">
        <v>5</v>
      </c>
      <c r="H23" s="25" t="s">
        <v>94</v>
      </c>
      <c r="I23" s="26" t="s">
        <v>49</v>
      </c>
    </row>
    <row r="24" customFormat="false" ht="15" hidden="false" customHeight="false" outlineLevel="0" collapsed="false">
      <c r="A24" s="31" t="s">
        <v>89</v>
      </c>
      <c r="B24" s="6" t="s">
        <v>90</v>
      </c>
      <c r="C24" s="6" t="s">
        <v>45</v>
      </c>
      <c r="D24" s="28" t="s">
        <v>23</v>
      </c>
      <c r="E24" s="22" t="s">
        <v>95</v>
      </c>
      <c r="F24" s="23" t="s">
        <v>47</v>
      </c>
      <c r="G24" s="24" t="n">
        <v>8</v>
      </c>
      <c r="H24" s="25" t="s">
        <v>96</v>
      </c>
      <c r="I24" s="26" t="s">
        <v>49</v>
      </c>
    </row>
    <row r="25" customFormat="false" ht="23.85" hidden="false" customHeight="false" outlineLevel="0" collapsed="false">
      <c r="A25" s="31" t="s">
        <v>89</v>
      </c>
      <c r="B25" s="6" t="s">
        <v>90</v>
      </c>
      <c r="C25" s="6" t="s">
        <v>45</v>
      </c>
      <c r="D25" s="33" t="s">
        <v>25</v>
      </c>
      <c r="E25" s="22" t="s">
        <v>97</v>
      </c>
      <c r="F25" s="30" t="s">
        <v>57</v>
      </c>
      <c r="G25" s="24" t="n">
        <v>4</v>
      </c>
      <c r="H25" s="25" t="s">
        <v>98</v>
      </c>
      <c r="I25" s="26" t="s">
        <v>49</v>
      </c>
    </row>
    <row r="26" customFormat="false" ht="15" hidden="false" customHeight="false" outlineLevel="0" collapsed="false">
      <c r="A26" s="31" t="s">
        <v>89</v>
      </c>
      <c r="B26" s="6" t="s">
        <v>90</v>
      </c>
      <c r="C26" s="6" t="s">
        <v>45</v>
      </c>
      <c r="D26" s="21" t="s">
        <v>31</v>
      </c>
      <c r="E26" s="22" t="s">
        <v>99</v>
      </c>
      <c r="F26" s="23" t="s">
        <v>47</v>
      </c>
      <c r="G26" s="24" t="n">
        <v>3</v>
      </c>
      <c r="H26" s="25" t="s">
        <v>100</v>
      </c>
      <c r="I26" s="26" t="s">
        <v>49</v>
      </c>
    </row>
    <row r="27" customFormat="false" ht="23.85" hidden="false" customHeight="false" outlineLevel="0" collapsed="false">
      <c r="A27" s="31" t="s">
        <v>89</v>
      </c>
      <c r="B27" s="6" t="s">
        <v>90</v>
      </c>
      <c r="C27" s="6" t="s">
        <v>45</v>
      </c>
      <c r="D27" s="34" t="s">
        <v>27</v>
      </c>
      <c r="E27" s="22" t="s">
        <v>101</v>
      </c>
      <c r="F27" s="35" t="s">
        <v>102</v>
      </c>
      <c r="G27" s="24" t="n">
        <v>3</v>
      </c>
      <c r="H27" s="25" t="s">
        <v>103</v>
      </c>
      <c r="I27" s="26" t="s">
        <v>49</v>
      </c>
    </row>
    <row r="28" customFormat="false" ht="23.85" hidden="false" customHeight="false" outlineLevel="0" collapsed="false">
      <c r="A28" s="20" t="s">
        <v>104</v>
      </c>
      <c r="B28" s="6" t="s">
        <v>105</v>
      </c>
      <c r="C28" s="6" t="s">
        <v>106</v>
      </c>
      <c r="D28" s="33" t="s">
        <v>25</v>
      </c>
      <c r="E28" s="22" t="s">
        <v>107</v>
      </c>
      <c r="F28" s="23" t="s">
        <v>47</v>
      </c>
      <c r="G28" s="24" t="n">
        <v>10</v>
      </c>
      <c r="H28" s="25" t="s">
        <v>108</v>
      </c>
      <c r="I28" s="26" t="s">
        <v>49</v>
      </c>
    </row>
    <row r="29" customFormat="false" ht="23.85" hidden="false" customHeight="false" outlineLevel="0" collapsed="false">
      <c r="A29" s="20" t="s">
        <v>104</v>
      </c>
      <c r="B29" s="6" t="s">
        <v>105</v>
      </c>
      <c r="C29" s="6" t="s">
        <v>106</v>
      </c>
      <c r="D29" s="32" t="s">
        <v>21</v>
      </c>
      <c r="E29" s="22" t="s">
        <v>109</v>
      </c>
      <c r="F29" s="30" t="s">
        <v>57</v>
      </c>
      <c r="G29" s="24" t="n">
        <v>4</v>
      </c>
      <c r="H29" s="25" t="s">
        <v>110</v>
      </c>
      <c r="I29" s="26" t="s">
        <v>49</v>
      </c>
    </row>
    <row r="30" customFormat="false" ht="23.85" hidden="false" customHeight="false" outlineLevel="0" collapsed="false">
      <c r="A30" s="20" t="s">
        <v>104</v>
      </c>
      <c r="B30" s="6" t="s">
        <v>105</v>
      </c>
      <c r="C30" s="6" t="s">
        <v>106</v>
      </c>
      <c r="D30" s="28" t="s">
        <v>23</v>
      </c>
      <c r="E30" s="22" t="s">
        <v>111</v>
      </c>
      <c r="F30" s="23" t="s">
        <v>47</v>
      </c>
      <c r="G30" s="24" t="n">
        <v>8</v>
      </c>
      <c r="H30" s="25" t="s">
        <v>112</v>
      </c>
      <c r="I30" s="26" t="s">
        <v>49</v>
      </c>
    </row>
    <row r="31" customFormat="false" ht="15" hidden="false" customHeight="false" outlineLevel="0" collapsed="false">
      <c r="A31" s="20" t="s">
        <v>104</v>
      </c>
      <c r="B31" s="6" t="s">
        <v>105</v>
      </c>
      <c r="C31" s="6" t="s">
        <v>106</v>
      </c>
      <c r="D31" s="27" t="s">
        <v>19</v>
      </c>
      <c r="E31" s="22" t="s">
        <v>113</v>
      </c>
      <c r="F31" s="23" t="s">
        <v>47</v>
      </c>
      <c r="G31" s="24" t="n">
        <v>4</v>
      </c>
      <c r="H31" s="25" t="s">
        <v>114</v>
      </c>
      <c r="I31" s="26" t="s">
        <v>49</v>
      </c>
    </row>
    <row r="32" customFormat="false" ht="15" hidden="false" customHeight="false" outlineLevel="0" collapsed="false">
      <c r="A32" s="20" t="s">
        <v>104</v>
      </c>
      <c r="B32" s="6" t="s">
        <v>105</v>
      </c>
      <c r="C32" s="6" t="s">
        <v>106</v>
      </c>
      <c r="D32" s="29" t="s">
        <v>29</v>
      </c>
      <c r="E32" s="22" t="s">
        <v>115</v>
      </c>
      <c r="F32" s="30" t="s">
        <v>57</v>
      </c>
      <c r="G32" s="24" t="n">
        <v>2</v>
      </c>
      <c r="H32" s="25" t="s">
        <v>116</v>
      </c>
      <c r="I32" s="26" t="s">
        <v>49</v>
      </c>
    </row>
    <row r="33" customFormat="false" ht="15" hidden="false" customHeight="false" outlineLevel="0" collapsed="false">
      <c r="A33" s="31" t="s">
        <v>117</v>
      </c>
      <c r="B33" s="6" t="s">
        <v>118</v>
      </c>
      <c r="C33" s="6" t="s">
        <v>106</v>
      </c>
      <c r="D33" s="33" t="s">
        <v>25</v>
      </c>
      <c r="E33" s="22" t="s">
        <v>119</v>
      </c>
      <c r="F33" s="23" t="s">
        <v>47</v>
      </c>
      <c r="G33" s="24" t="n">
        <v>6</v>
      </c>
      <c r="H33" s="25" t="s">
        <v>120</v>
      </c>
      <c r="I33" s="26" t="s">
        <v>49</v>
      </c>
    </row>
    <row r="34" customFormat="false" ht="23.85" hidden="false" customHeight="false" outlineLevel="0" collapsed="false">
      <c r="A34" s="31" t="s">
        <v>117</v>
      </c>
      <c r="B34" s="6" t="s">
        <v>118</v>
      </c>
      <c r="C34" s="6" t="s">
        <v>106</v>
      </c>
      <c r="D34" s="32" t="s">
        <v>21</v>
      </c>
      <c r="E34" s="22" t="s">
        <v>121</v>
      </c>
      <c r="F34" s="30" t="s">
        <v>57</v>
      </c>
      <c r="G34" s="24" t="n">
        <v>5</v>
      </c>
      <c r="H34" s="25" t="s">
        <v>122</v>
      </c>
      <c r="I34" s="26" t="s">
        <v>49</v>
      </c>
    </row>
    <row r="35" customFormat="false" ht="15" hidden="false" customHeight="false" outlineLevel="0" collapsed="false">
      <c r="A35" s="31" t="s">
        <v>117</v>
      </c>
      <c r="B35" s="6" t="s">
        <v>118</v>
      </c>
      <c r="C35" s="6" t="s">
        <v>106</v>
      </c>
      <c r="D35" s="28" t="s">
        <v>23</v>
      </c>
      <c r="E35" s="22" t="s">
        <v>123</v>
      </c>
      <c r="F35" s="23" t="s">
        <v>47</v>
      </c>
      <c r="G35" s="24" t="n">
        <v>8</v>
      </c>
      <c r="H35" s="25" t="s">
        <v>124</v>
      </c>
      <c r="I35" s="26" t="s">
        <v>49</v>
      </c>
    </row>
    <row r="36" customFormat="false" ht="23.85" hidden="false" customHeight="false" outlineLevel="0" collapsed="false">
      <c r="A36" s="31" t="s">
        <v>117</v>
      </c>
      <c r="B36" s="6" t="s">
        <v>118</v>
      </c>
      <c r="C36" s="6" t="s">
        <v>106</v>
      </c>
      <c r="D36" s="34" t="s">
        <v>27</v>
      </c>
      <c r="E36" s="22" t="s">
        <v>125</v>
      </c>
      <c r="F36" s="30" t="s">
        <v>57</v>
      </c>
      <c r="G36" s="24" t="n">
        <v>4</v>
      </c>
      <c r="H36" s="25" t="s">
        <v>126</v>
      </c>
      <c r="I36" s="26" t="s">
        <v>49</v>
      </c>
    </row>
    <row r="37" customFormat="false" ht="23.85" hidden="false" customHeight="false" outlineLevel="0" collapsed="false">
      <c r="A37" s="31" t="s">
        <v>117</v>
      </c>
      <c r="B37" s="6" t="s">
        <v>118</v>
      </c>
      <c r="C37" s="6" t="s">
        <v>106</v>
      </c>
      <c r="D37" s="27" t="s">
        <v>19</v>
      </c>
      <c r="E37" s="22" t="s">
        <v>127</v>
      </c>
      <c r="F37" s="30" t="s">
        <v>57</v>
      </c>
      <c r="G37" s="24" t="n">
        <v>3</v>
      </c>
      <c r="H37" s="25" t="s">
        <v>128</v>
      </c>
      <c r="I37" s="26" t="s">
        <v>49</v>
      </c>
    </row>
    <row r="38" customFormat="false" ht="23.85" hidden="false" customHeight="false" outlineLevel="0" collapsed="false">
      <c r="A38" s="20" t="s">
        <v>129</v>
      </c>
      <c r="B38" s="6" t="s">
        <v>130</v>
      </c>
      <c r="C38" s="6" t="s">
        <v>106</v>
      </c>
      <c r="D38" s="34" t="s">
        <v>27</v>
      </c>
      <c r="E38" s="22" t="s">
        <v>131</v>
      </c>
      <c r="F38" s="23" t="s">
        <v>47</v>
      </c>
      <c r="G38" s="24" t="n">
        <v>8</v>
      </c>
      <c r="H38" s="25" t="s">
        <v>132</v>
      </c>
      <c r="I38" s="26" t="s">
        <v>49</v>
      </c>
    </row>
    <row r="39" customFormat="false" ht="23.85" hidden="false" customHeight="false" outlineLevel="0" collapsed="false">
      <c r="A39" s="20" t="s">
        <v>129</v>
      </c>
      <c r="B39" s="6" t="s">
        <v>130</v>
      </c>
      <c r="C39" s="6" t="s">
        <v>106</v>
      </c>
      <c r="D39" s="32" t="s">
        <v>21</v>
      </c>
      <c r="E39" s="22" t="s">
        <v>133</v>
      </c>
      <c r="F39" s="30" t="s">
        <v>57</v>
      </c>
      <c r="G39" s="24" t="n">
        <v>5</v>
      </c>
      <c r="H39" s="25" t="s">
        <v>134</v>
      </c>
      <c r="I39" s="26" t="s">
        <v>49</v>
      </c>
    </row>
    <row r="40" customFormat="false" ht="15" hidden="false" customHeight="false" outlineLevel="0" collapsed="false">
      <c r="A40" s="20" t="s">
        <v>129</v>
      </c>
      <c r="B40" s="6" t="s">
        <v>130</v>
      </c>
      <c r="C40" s="6" t="s">
        <v>106</v>
      </c>
      <c r="D40" s="28" t="s">
        <v>23</v>
      </c>
      <c r="E40" s="22" t="s">
        <v>135</v>
      </c>
      <c r="F40" s="23" t="s">
        <v>47</v>
      </c>
      <c r="G40" s="24" t="n">
        <v>8</v>
      </c>
      <c r="H40" s="25" t="s">
        <v>136</v>
      </c>
      <c r="I40" s="26" t="s">
        <v>49</v>
      </c>
    </row>
    <row r="41" customFormat="false" ht="23.85" hidden="false" customHeight="false" outlineLevel="0" collapsed="false">
      <c r="A41" s="20" t="s">
        <v>129</v>
      </c>
      <c r="B41" s="6" t="s">
        <v>130</v>
      </c>
      <c r="C41" s="6" t="s">
        <v>106</v>
      </c>
      <c r="D41" s="33" t="s">
        <v>25</v>
      </c>
      <c r="E41" s="22" t="s">
        <v>137</v>
      </c>
      <c r="F41" s="35" t="s">
        <v>102</v>
      </c>
      <c r="G41" s="24" t="n">
        <v>3</v>
      </c>
      <c r="H41" s="25" t="s">
        <v>138</v>
      </c>
      <c r="I41" s="26" t="s">
        <v>49</v>
      </c>
    </row>
    <row r="42" customFormat="false" ht="15" hidden="false" customHeight="false" outlineLevel="0" collapsed="false">
      <c r="A42" s="20" t="s">
        <v>129</v>
      </c>
      <c r="B42" s="6" t="s">
        <v>130</v>
      </c>
      <c r="C42" s="6" t="s">
        <v>106</v>
      </c>
      <c r="D42" s="27" t="s">
        <v>19</v>
      </c>
      <c r="E42" s="22" t="s">
        <v>139</v>
      </c>
      <c r="F42" s="23" t="s">
        <v>47</v>
      </c>
      <c r="G42" s="24" t="n">
        <v>3</v>
      </c>
      <c r="H42" s="25" t="s">
        <v>140</v>
      </c>
      <c r="I42" s="26" t="s">
        <v>49</v>
      </c>
    </row>
    <row r="43" customFormat="false" ht="23.85" hidden="false" customHeight="false" outlineLevel="0" collapsed="false">
      <c r="A43" s="31" t="s">
        <v>141</v>
      </c>
      <c r="B43" s="6" t="s">
        <v>142</v>
      </c>
      <c r="C43" s="6" t="s">
        <v>106</v>
      </c>
      <c r="D43" s="34" t="s">
        <v>27</v>
      </c>
      <c r="E43" s="22" t="s">
        <v>143</v>
      </c>
      <c r="F43" s="23" t="s">
        <v>47</v>
      </c>
      <c r="G43" s="24" t="n">
        <v>6</v>
      </c>
      <c r="H43" s="25" t="s">
        <v>144</v>
      </c>
      <c r="I43" s="26" t="s">
        <v>49</v>
      </c>
    </row>
    <row r="44" customFormat="false" ht="15" hidden="false" customHeight="false" outlineLevel="0" collapsed="false">
      <c r="A44" s="31" t="s">
        <v>141</v>
      </c>
      <c r="B44" s="6" t="s">
        <v>142</v>
      </c>
      <c r="C44" s="6" t="s">
        <v>106</v>
      </c>
      <c r="D44" s="32" t="s">
        <v>21</v>
      </c>
      <c r="E44" s="22" t="s">
        <v>145</v>
      </c>
      <c r="F44" s="30" t="s">
        <v>57</v>
      </c>
      <c r="G44" s="24" t="n">
        <v>3</v>
      </c>
      <c r="H44" s="25" t="s">
        <v>146</v>
      </c>
      <c r="I44" s="26" t="s">
        <v>49</v>
      </c>
    </row>
    <row r="45" customFormat="false" ht="15" hidden="false" customHeight="false" outlineLevel="0" collapsed="false">
      <c r="A45" s="31" t="s">
        <v>141</v>
      </c>
      <c r="B45" s="6" t="s">
        <v>142</v>
      </c>
      <c r="C45" s="6" t="s">
        <v>106</v>
      </c>
      <c r="D45" s="28" t="s">
        <v>23</v>
      </c>
      <c r="E45" s="22" t="s">
        <v>147</v>
      </c>
      <c r="F45" s="23" t="s">
        <v>47</v>
      </c>
      <c r="G45" s="24" t="n">
        <v>8</v>
      </c>
      <c r="H45" s="25" t="s">
        <v>148</v>
      </c>
      <c r="I45" s="26" t="s">
        <v>49</v>
      </c>
    </row>
    <row r="46" customFormat="false" ht="15" hidden="false" customHeight="false" outlineLevel="0" collapsed="false">
      <c r="A46" s="31" t="s">
        <v>141</v>
      </c>
      <c r="B46" s="6" t="s">
        <v>142</v>
      </c>
      <c r="C46" s="6" t="s">
        <v>106</v>
      </c>
      <c r="D46" s="21" t="s">
        <v>31</v>
      </c>
      <c r="E46" s="22" t="s">
        <v>149</v>
      </c>
      <c r="F46" s="23" t="s">
        <v>47</v>
      </c>
      <c r="G46" s="24" t="n">
        <v>3</v>
      </c>
      <c r="H46" s="25" t="s">
        <v>150</v>
      </c>
      <c r="I46" s="26" t="s">
        <v>49</v>
      </c>
    </row>
    <row r="47" customFormat="false" ht="15" hidden="false" customHeight="false" outlineLevel="0" collapsed="false">
      <c r="A47" s="31" t="s">
        <v>141</v>
      </c>
      <c r="B47" s="6" t="s">
        <v>142</v>
      </c>
      <c r="C47" s="6" t="s">
        <v>106</v>
      </c>
      <c r="D47" s="29" t="s">
        <v>29</v>
      </c>
      <c r="E47" s="22" t="s">
        <v>151</v>
      </c>
      <c r="F47" s="35" t="s">
        <v>102</v>
      </c>
      <c r="G47" s="24" t="n">
        <v>3</v>
      </c>
      <c r="H47" s="25" t="s">
        <v>152</v>
      </c>
      <c r="I47" s="26" t="s">
        <v>49</v>
      </c>
    </row>
    <row r="48" customFormat="false" ht="15" hidden="false" customHeight="false" outlineLevel="0" collapsed="false">
      <c r="A48" s="20" t="s">
        <v>153</v>
      </c>
      <c r="B48" s="6" t="s">
        <v>154</v>
      </c>
      <c r="C48" s="6" t="s">
        <v>155</v>
      </c>
      <c r="D48" s="34" t="s">
        <v>27</v>
      </c>
      <c r="E48" s="22" t="s">
        <v>156</v>
      </c>
      <c r="F48" s="23" t="s">
        <v>47</v>
      </c>
      <c r="G48" s="24" t="n">
        <v>8</v>
      </c>
      <c r="H48" s="25" t="s">
        <v>157</v>
      </c>
      <c r="I48" s="26" t="s">
        <v>49</v>
      </c>
    </row>
    <row r="49" customFormat="false" ht="23.85" hidden="false" customHeight="false" outlineLevel="0" collapsed="false">
      <c r="A49" s="20" t="s">
        <v>153</v>
      </c>
      <c r="B49" s="6" t="s">
        <v>154</v>
      </c>
      <c r="C49" s="6" t="s">
        <v>155</v>
      </c>
      <c r="D49" s="32" t="s">
        <v>21</v>
      </c>
      <c r="E49" s="22" t="s">
        <v>158</v>
      </c>
      <c r="F49" s="23" t="s">
        <v>47</v>
      </c>
      <c r="G49" s="24" t="n">
        <v>5</v>
      </c>
      <c r="H49" s="25" t="s">
        <v>159</v>
      </c>
      <c r="I49" s="26" t="s">
        <v>49</v>
      </c>
    </row>
    <row r="50" customFormat="false" ht="15" hidden="false" customHeight="false" outlineLevel="0" collapsed="false">
      <c r="A50" s="20" t="s">
        <v>153</v>
      </c>
      <c r="B50" s="6" t="s">
        <v>154</v>
      </c>
      <c r="C50" s="6" t="s">
        <v>155</v>
      </c>
      <c r="D50" s="28" t="s">
        <v>23</v>
      </c>
      <c r="E50" s="22" t="s">
        <v>160</v>
      </c>
      <c r="F50" s="23" t="s">
        <v>47</v>
      </c>
      <c r="G50" s="24" t="n">
        <v>8</v>
      </c>
      <c r="H50" s="25" t="s">
        <v>161</v>
      </c>
      <c r="I50" s="26" t="s">
        <v>49</v>
      </c>
    </row>
    <row r="51" customFormat="false" ht="15" hidden="false" customHeight="false" outlineLevel="0" collapsed="false">
      <c r="A51" s="20" t="s">
        <v>153</v>
      </c>
      <c r="B51" s="6" t="s">
        <v>154</v>
      </c>
      <c r="C51" s="6" t="s">
        <v>155</v>
      </c>
      <c r="D51" s="33" t="s">
        <v>25</v>
      </c>
      <c r="E51" s="22" t="s">
        <v>162</v>
      </c>
      <c r="F51" s="30" t="s">
        <v>57</v>
      </c>
      <c r="G51" s="24" t="n">
        <v>4</v>
      </c>
      <c r="H51" s="25" t="s">
        <v>163</v>
      </c>
      <c r="I51" s="26" t="s">
        <v>49</v>
      </c>
    </row>
    <row r="52" customFormat="false" ht="15" hidden="false" customHeight="false" outlineLevel="0" collapsed="false">
      <c r="A52" s="31" t="s">
        <v>164</v>
      </c>
      <c r="B52" s="6" t="s">
        <v>165</v>
      </c>
      <c r="C52" s="6" t="s">
        <v>155</v>
      </c>
      <c r="D52" s="27" t="s">
        <v>19</v>
      </c>
      <c r="E52" s="22" t="s">
        <v>166</v>
      </c>
      <c r="F52" s="23" t="s">
        <v>47</v>
      </c>
      <c r="G52" s="24" t="n">
        <v>5</v>
      </c>
      <c r="H52" s="25" t="s">
        <v>167</v>
      </c>
      <c r="I52" s="26" t="s">
        <v>49</v>
      </c>
    </row>
    <row r="53" customFormat="false" ht="15" hidden="false" customHeight="false" outlineLevel="0" collapsed="false">
      <c r="A53" s="31" t="s">
        <v>164</v>
      </c>
      <c r="B53" s="6" t="s">
        <v>165</v>
      </c>
      <c r="C53" s="6" t="s">
        <v>155</v>
      </c>
      <c r="D53" s="32" t="s">
        <v>21</v>
      </c>
      <c r="E53" s="22" t="s">
        <v>168</v>
      </c>
      <c r="F53" s="30" t="s">
        <v>57</v>
      </c>
      <c r="G53" s="24" t="n">
        <v>5</v>
      </c>
      <c r="H53" s="25" t="s">
        <v>169</v>
      </c>
      <c r="I53" s="26" t="s">
        <v>49</v>
      </c>
    </row>
    <row r="54" customFormat="false" ht="15" hidden="false" customHeight="false" outlineLevel="0" collapsed="false">
      <c r="A54" s="31" t="s">
        <v>164</v>
      </c>
      <c r="B54" s="6" t="s">
        <v>165</v>
      </c>
      <c r="C54" s="6" t="s">
        <v>155</v>
      </c>
      <c r="D54" s="28" t="s">
        <v>23</v>
      </c>
      <c r="E54" s="22" t="s">
        <v>147</v>
      </c>
      <c r="F54" s="23" t="s">
        <v>47</v>
      </c>
      <c r="G54" s="24" t="n">
        <v>8</v>
      </c>
      <c r="H54" s="25" t="s">
        <v>170</v>
      </c>
      <c r="I54" s="26" t="s">
        <v>49</v>
      </c>
    </row>
    <row r="55" customFormat="false" ht="15" hidden="false" customHeight="false" outlineLevel="0" collapsed="false">
      <c r="A55" s="31" t="s">
        <v>164</v>
      </c>
      <c r="B55" s="6" t="s">
        <v>165</v>
      </c>
      <c r="C55" s="6" t="s">
        <v>155</v>
      </c>
      <c r="D55" s="34" t="s">
        <v>27</v>
      </c>
      <c r="E55" s="22" t="s">
        <v>171</v>
      </c>
      <c r="F55" s="30" t="s">
        <v>57</v>
      </c>
      <c r="G55" s="24" t="n">
        <v>4</v>
      </c>
      <c r="H55" s="25" t="s">
        <v>172</v>
      </c>
      <c r="I55" s="26" t="s">
        <v>49</v>
      </c>
    </row>
    <row r="56" customFormat="false" ht="15" hidden="false" customHeight="false" outlineLevel="0" collapsed="false">
      <c r="A56" s="31" t="s">
        <v>164</v>
      </c>
      <c r="B56" s="6" t="s">
        <v>165</v>
      </c>
      <c r="C56" s="6" t="s">
        <v>155</v>
      </c>
      <c r="D56" s="33" t="s">
        <v>25</v>
      </c>
      <c r="E56" s="22" t="s">
        <v>173</v>
      </c>
      <c r="F56" s="30" t="s">
        <v>57</v>
      </c>
      <c r="G56" s="24" t="n">
        <v>3</v>
      </c>
      <c r="H56" s="25" t="s">
        <v>174</v>
      </c>
      <c r="I56" s="26" t="s">
        <v>49</v>
      </c>
    </row>
    <row r="57" customFormat="false" ht="23.85" hidden="false" customHeight="false" outlineLevel="0" collapsed="false">
      <c r="A57" s="20" t="s">
        <v>175</v>
      </c>
      <c r="B57" s="6" t="s">
        <v>176</v>
      </c>
      <c r="C57" s="6" t="s">
        <v>155</v>
      </c>
      <c r="D57" s="32" t="s">
        <v>21</v>
      </c>
      <c r="E57" s="22" t="s">
        <v>177</v>
      </c>
      <c r="F57" s="30" t="s">
        <v>57</v>
      </c>
      <c r="G57" s="24" t="n">
        <v>5</v>
      </c>
      <c r="H57" s="25" t="s">
        <v>178</v>
      </c>
      <c r="I57" s="26" t="s">
        <v>49</v>
      </c>
    </row>
    <row r="58" customFormat="false" ht="15" hidden="false" customHeight="false" outlineLevel="0" collapsed="false">
      <c r="A58" s="20" t="s">
        <v>175</v>
      </c>
      <c r="B58" s="6" t="s">
        <v>176</v>
      </c>
      <c r="C58" s="6" t="s">
        <v>155</v>
      </c>
      <c r="D58" s="28" t="s">
        <v>23</v>
      </c>
      <c r="E58" s="22" t="s">
        <v>179</v>
      </c>
      <c r="F58" s="23" t="s">
        <v>47</v>
      </c>
      <c r="G58" s="24" t="n">
        <v>8</v>
      </c>
      <c r="H58" s="25" t="s">
        <v>180</v>
      </c>
      <c r="I58" s="26" t="s">
        <v>49</v>
      </c>
    </row>
    <row r="59" customFormat="false" ht="23.85" hidden="false" customHeight="false" outlineLevel="0" collapsed="false">
      <c r="A59" s="20" t="s">
        <v>175</v>
      </c>
      <c r="B59" s="6" t="s">
        <v>176</v>
      </c>
      <c r="C59" s="6" t="s">
        <v>155</v>
      </c>
      <c r="D59" s="34" t="s">
        <v>27</v>
      </c>
      <c r="E59" s="22" t="s">
        <v>181</v>
      </c>
      <c r="F59" s="30" t="s">
        <v>57</v>
      </c>
      <c r="G59" s="24" t="n">
        <v>4</v>
      </c>
      <c r="H59" s="25" t="s">
        <v>182</v>
      </c>
      <c r="I59" s="26" t="s">
        <v>49</v>
      </c>
    </row>
    <row r="60" customFormat="false" ht="15" hidden="false" customHeight="false" outlineLevel="0" collapsed="false">
      <c r="A60" s="20" t="s">
        <v>175</v>
      </c>
      <c r="B60" s="6" t="s">
        <v>176</v>
      </c>
      <c r="C60" s="6" t="s">
        <v>155</v>
      </c>
      <c r="D60" s="29" t="s">
        <v>29</v>
      </c>
      <c r="E60" s="22" t="s">
        <v>183</v>
      </c>
      <c r="F60" s="35" t="s">
        <v>102</v>
      </c>
      <c r="G60" s="24" t="n">
        <v>3</v>
      </c>
      <c r="H60" s="25" t="s">
        <v>184</v>
      </c>
      <c r="I60" s="26" t="s">
        <v>49</v>
      </c>
    </row>
    <row r="61" customFormat="false" ht="15" hidden="false" customHeight="false" outlineLevel="0" collapsed="false">
      <c r="A61" s="20" t="s">
        <v>175</v>
      </c>
      <c r="B61" s="6" t="s">
        <v>176</v>
      </c>
      <c r="C61" s="6" t="s">
        <v>155</v>
      </c>
      <c r="D61" s="33" t="s">
        <v>25</v>
      </c>
      <c r="E61" s="22" t="s">
        <v>185</v>
      </c>
      <c r="F61" s="30" t="s">
        <v>57</v>
      </c>
      <c r="G61" s="24" t="n">
        <v>4</v>
      </c>
      <c r="H61" s="25" t="s">
        <v>186</v>
      </c>
      <c r="I61" s="26" t="s">
        <v>49</v>
      </c>
    </row>
    <row r="62" customFormat="false" ht="23.85" hidden="false" customHeight="false" outlineLevel="0" collapsed="false">
      <c r="A62" s="31" t="s">
        <v>187</v>
      </c>
      <c r="B62" s="6" t="s">
        <v>188</v>
      </c>
      <c r="C62" s="6" t="s">
        <v>155</v>
      </c>
      <c r="D62" s="21" t="s">
        <v>31</v>
      </c>
      <c r="E62" s="22" t="s">
        <v>189</v>
      </c>
      <c r="F62" s="23" t="s">
        <v>47</v>
      </c>
      <c r="G62" s="24" t="n">
        <v>4</v>
      </c>
      <c r="H62" s="25" t="s">
        <v>190</v>
      </c>
      <c r="I62" s="26" t="s">
        <v>49</v>
      </c>
    </row>
    <row r="63" customFormat="false" ht="15" hidden="false" customHeight="false" outlineLevel="0" collapsed="false">
      <c r="A63" s="31" t="s">
        <v>187</v>
      </c>
      <c r="B63" s="6" t="s">
        <v>188</v>
      </c>
      <c r="C63" s="6" t="s">
        <v>155</v>
      </c>
      <c r="D63" s="34" t="s">
        <v>27</v>
      </c>
      <c r="E63" s="22" t="s">
        <v>191</v>
      </c>
      <c r="F63" s="23" t="s">
        <v>47</v>
      </c>
      <c r="G63" s="24" t="n">
        <v>4</v>
      </c>
      <c r="H63" s="25" t="s">
        <v>192</v>
      </c>
      <c r="I63" s="26" t="s">
        <v>49</v>
      </c>
    </row>
    <row r="64" customFormat="false" ht="15" hidden="false" customHeight="false" outlineLevel="0" collapsed="false">
      <c r="A64" s="31" t="s">
        <v>187</v>
      </c>
      <c r="B64" s="6" t="s">
        <v>188</v>
      </c>
      <c r="C64" s="6" t="s">
        <v>155</v>
      </c>
      <c r="D64" s="32" t="s">
        <v>21</v>
      </c>
      <c r="E64" s="22" t="s">
        <v>193</v>
      </c>
      <c r="F64" s="30" t="s">
        <v>57</v>
      </c>
      <c r="G64" s="24" t="n">
        <v>3</v>
      </c>
      <c r="H64" s="25" t="s">
        <v>194</v>
      </c>
      <c r="I64" s="26" t="s">
        <v>49</v>
      </c>
    </row>
    <row r="65" customFormat="false" ht="15" hidden="false" customHeight="false" outlineLevel="0" collapsed="false">
      <c r="A65" s="31" t="s">
        <v>187</v>
      </c>
      <c r="B65" s="6" t="s">
        <v>188</v>
      </c>
      <c r="C65" s="6" t="s">
        <v>155</v>
      </c>
      <c r="D65" s="28" t="s">
        <v>23</v>
      </c>
      <c r="E65" s="22" t="s">
        <v>195</v>
      </c>
      <c r="F65" s="23" t="s">
        <v>47</v>
      </c>
      <c r="G65" s="24" t="n">
        <v>6</v>
      </c>
      <c r="H65" s="25" t="s">
        <v>196</v>
      </c>
      <c r="I65" s="26" t="s">
        <v>49</v>
      </c>
    </row>
    <row r="66" customFormat="false" ht="23.85" hidden="false" customHeight="false" outlineLevel="0" collapsed="false">
      <c r="A66" s="31" t="s">
        <v>187</v>
      </c>
      <c r="B66" s="6" t="s">
        <v>188</v>
      </c>
      <c r="C66" s="6" t="s">
        <v>155</v>
      </c>
      <c r="D66" s="27" t="s">
        <v>19</v>
      </c>
      <c r="E66" s="22" t="s">
        <v>197</v>
      </c>
      <c r="F66" s="30" t="s">
        <v>57</v>
      </c>
      <c r="G66" s="24" t="n">
        <v>3</v>
      </c>
      <c r="H66" s="25" t="s">
        <v>198</v>
      </c>
      <c r="I66" s="26" t="s">
        <v>49</v>
      </c>
    </row>
    <row r="67" customFormat="false" ht="15" hidden="false" customHeight="false" outlineLevel="0" collapsed="false">
      <c r="E67" s="36" t="s">
        <v>199</v>
      </c>
      <c r="G67" s="37" t="n">
        <f aca="false">SUM(G4:G66)</f>
        <v>312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13"/>
  </cols>
  <sheetData>
    <row r="1" customFormat="false" ht="16.15" hidden="false" customHeight="true" outlineLevel="0" collapsed="false">
      <c r="A1" s="19" t="s">
        <v>200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8" t="s">
        <v>201</v>
      </c>
      <c r="B3" s="8" t="s">
        <v>202</v>
      </c>
      <c r="C3" s="8" t="s">
        <v>203</v>
      </c>
      <c r="D3" s="8" t="s">
        <v>204</v>
      </c>
      <c r="E3" s="8" t="s">
        <v>205</v>
      </c>
      <c r="F3" s="8" t="s">
        <v>206</v>
      </c>
    </row>
    <row r="4" customFormat="false" ht="15" hidden="false" customHeight="false" outlineLevel="0" collapsed="false">
      <c r="A4" s="38" t="s">
        <v>207</v>
      </c>
      <c r="B4" s="25" t="s">
        <v>208</v>
      </c>
      <c r="C4" s="39" t="n">
        <v>3000</v>
      </c>
      <c r="D4" s="39" t="n">
        <v>3000</v>
      </c>
      <c r="E4" s="39" t="n">
        <v>3000</v>
      </c>
      <c r="F4" s="40" t="n">
        <f aca="false">SUM(C4:E4)</f>
        <v>9000</v>
      </c>
    </row>
    <row r="5" customFormat="false" ht="23.85" hidden="false" customHeight="false" outlineLevel="0" collapsed="false">
      <c r="A5" s="38" t="s">
        <v>209</v>
      </c>
      <c r="B5" s="25" t="s">
        <v>210</v>
      </c>
      <c r="C5" s="39" t="n">
        <v>2000</v>
      </c>
      <c r="D5" s="39" t="n">
        <v>2000</v>
      </c>
      <c r="E5" s="39" t="n">
        <v>2000</v>
      </c>
      <c r="F5" s="40" t="n">
        <f aca="false">SUM(C5:E5)</f>
        <v>6000</v>
      </c>
    </row>
    <row r="6" customFormat="false" ht="22.35" hidden="false" customHeight="false" outlineLevel="0" collapsed="false">
      <c r="A6" s="38" t="s">
        <v>211</v>
      </c>
      <c r="B6" s="25" t="s">
        <v>212</v>
      </c>
      <c r="C6" s="39" t="n">
        <v>700</v>
      </c>
      <c r="D6" s="39" t="n">
        <v>700</v>
      </c>
      <c r="E6" s="39" t="n">
        <v>700</v>
      </c>
      <c r="F6" s="40" t="n">
        <f aca="false">SUM(C6:E6)</f>
        <v>2100</v>
      </c>
    </row>
    <row r="7" customFormat="false" ht="15" hidden="false" customHeight="false" outlineLevel="0" collapsed="false">
      <c r="A7" s="38" t="s">
        <v>213</v>
      </c>
      <c r="B7" s="25" t="s">
        <v>214</v>
      </c>
      <c r="C7" s="39" t="n">
        <v>0</v>
      </c>
      <c r="D7" s="39" t="n">
        <v>1300</v>
      </c>
      <c r="E7" s="39" t="n">
        <v>1300</v>
      </c>
      <c r="F7" s="40" t="n">
        <f aca="false">SUM(C7:E7)</f>
        <v>2600</v>
      </c>
    </row>
    <row r="8" customFormat="false" ht="15" hidden="false" customHeight="false" outlineLevel="0" collapsed="false">
      <c r="A8" s="38" t="s">
        <v>215</v>
      </c>
      <c r="B8" s="25" t="s">
        <v>216</v>
      </c>
      <c r="C8" s="39" t="n">
        <v>1300</v>
      </c>
      <c r="D8" s="39" t="n">
        <v>0</v>
      </c>
      <c r="E8" s="39" t="n">
        <v>0</v>
      </c>
      <c r="F8" s="40" t="n">
        <f aca="false">SUM(C8:E8)</f>
        <v>1300</v>
      </c>
    </row>
    <row r="9" customFormat="false" ht="15" hidden="false" customHeight="false" outlineLevel="0" collapsed="false">
      <c r="A9" s="41" t="s">
        <v>217</v>
      </c>
      <c r="B9" s="42"/>
      <c r="C9" s="43" t="n">
        <f aca="false">SUM(C4:C8)</f>
        <v>7000</v>
      </c>
      <c r="D9" s="43" t="n">
        <f aca="false">SUM(D4:D8)</f>
        <v>7000</v>
      </c>
      <c r="E9" s="43" t="n">
        <f aca="false">SUM(E4:E8)</f>
        <v>7000</v>
      </c>
      <c r="F9" s="43" t="n">
        <f aca="false">SUM(F4:F8)</f>
        <v>21000</v>
      </c>
    </row>
    <row r="11" customFormat="false" ht="22.35" hidden="false" customHeight="true" outlineLevel="0" collapsed="false">
      <c r="A11" s="18" t="s">
        <v>218</v>
      </c>
      <c r="B11" s="18"/>
      <c r="C11" s="18"/>
      <c r="D11" s="18"/>
      <c r="E11" s="18"/>
      <c r="F11" s="18"/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2"/>
  </cols>
  <sheetData>
    <row r="1" customFormat="false" ht="16.15" hidden="false" customHeight="true" outlineLevel="0" collapsed="false">
      <c r="A1" s="19" t="s">
        <v>219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8" t="s">
        <v>220</v>
      </c>
      <c r="B3" s="8" t="s">
        <v>221</v>
      </c>
      <c r="C3" s="8" t="s">
        <v>222</v>
      </c>
      <c r="D3" s="8" t="s">
        <v>223</v>
      </c>
      <c r="E3" s="8" t="s">
        <v>224</v>
      </c>
      <c r="F3" s="8" t="s">
        <v>225</v>
      </c>
    </row>
    <row r="4" customFormat="false" ht="15" hidden="false" customHeight="false" outlineLevel="0" collapsed="false">
      <c r="A4" s="38" t="s">
        <v>226</v>
      </c>
      <c r="B4" s="24" t="s">
        <v>227</v>
      </c>
      <c r="C4" s="24" t="s">
        <v>228</v>
      </c>
      <c r="D4" s="24" t="s">
        <v>229</v>
      </c>
      <c r="E4" s="24" t="s">
        <v>230</v>
      </c>
      <c r="F4" s="44"/>
    </row>
    <row r="5" customFormat="false" ht="15" hidden="false" customHeight="false" outlineLevel="0" collapsed="false">
      <c r="A5" s="38" t="s">
        <v>231</v>
      </c>
      <c r="B5" s="24" t="s">
        <v>232</v>
      </c>
      <c r="C5" s="24" t="s">
        <v>233</v>
      </c>
      <c r="D5" s="24" t="s">
        <v>234</v>
      </c>
      <c r="E5" s="24" t="s">
        <v>235</v>
      </c>
      <c r="F5" s="44"/>
    </row>
    <row r="6" customFormat="false" ht="15" hidden="false" customHeight="false" outlineLevel="0" collapsed="false">
      <c r="A6" s="38" t="s">
        <v>236</v>
      </c>
      <c r="B6" s="24" t="s">
        <v>237</v>
      </c>
      <c r="C6" s="24" t="s">
        <v>238</v>
      </c>
      <c r="D6" s="24" t="s">
        <v>239</v>
      </c>
      <c r="E6" s="24" t="s">
        <v>240</v>
      </c>
      <c r="F6" s="44"/>
    </row>
    <row r="7" customFormat="false" ht="15" hidden="false" customHeight="false" outlineLevel="0" collapsed="false">
      <c r="A7" s="38" t="s">
        <v>241</v>
      </c>
      <c r="B7" s="24" t="s">
        <v>242</v>
      </c>
      <c r="C7" s="24" t="s">
        <v>243</v>
      </c>
      <c r="D7" s="24" t="s">
        <v>244</v>
      </c>
      <c r="E7" s="24" t="s">
        <v>245</v>
      </c>
      <c r="F7" s="44"/>
    </row>
    <row r="8" customFormat="false" ht="15" hidden="false" customHeight="false" outlineLevel="0" collapsed="false">
      <c r="A8" s="38" t="s">
        <v>246</v>
      </c>
      <c r="B8" s="24" t="s">
        <v>247</v>
      </c>
      <c r="C8" s="24" t="s">
        <v>248</v>
      </c>
      <c r="D8" s="24" t="s">
        <v>248</v>
      </c>
      <c r="E8" s="24" t="s">
        <v>248</v>
      </c>
      <c r="F8" s="44"/>
    </row>
    <row r="9" customFormat="false" ht="15" hidden="false" customHeight="false" outlineLevel="0" collapsed="false">
      <c r="A9" s="38" t="s">
        <v>249</v>
      </c>
      <c r="B9" s="24" t="s">
        <v>247</v>
      </c>
      <c r="C9" s="24" t="s">
        <v>250</v>
      </c>
      <c r="D9" s="24" t="s">
        <v>251</v>
      </c>
      <c r="E9" s="24" t="s">
        <v>245</v>
      </c>
      <c r="F9" s="44"/>
    </row>
    <row r="10" customFormat="false" ht="15" hidden="false" customHeight="false" outlineLevel="0" collapsed="false">
      <c r="A10" s="38" t="s">
        <v>252</v>
      </c>
      <c r="B10" s="24" t="s">
        <v>232</v>
      </c>
      <c r="C10" s="24" t="s">
        <v>232</v>
      </c>
      <c r="D10" s="24" t="s">
        <v>253</v>
      </c>
      <c r="E10" s="24" t="s">
        <v>254</v>
      </c>
      <c r="F10" s="44"/>
    </row>
    <row r="11" customFormat="false" ht="15" hidden="false" customHeight="false" outlineLevel="0" collapsed="false">
      <c r="A11" s="38" t="s">
        <v>255</v>
      </c>
      <c r="B11" s="24" t="s">
        <v>232</v>
      </c>
      <c r="C11" s="24" t="s">
        <v>232</v>
      </c>
      <c r="D11" s="24" t="s">
        <v>256</v>
      </c>
      <c r="E11" s="24" t="s">
        <v>257</v>
      </c>
      <c r="F11" s="44"/>
    </row>
    <row r="13" customFormat="false" ht="22.35" hidden="false" customHeight="true" outlineLevel="0" collapsed="false">
      <c r="A13" s="18" t="s">
        <v>258</v>
      </c>
      <c r="B13" s="18"/>
      <c r="C13" s="18"/>
      <c r="D13" s="18"/>
      <c r="E13" s="18"/>
      <c r="F13" s="18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2026-08-03T12:03:35Z</dcterms:created>
  <dc:creator>openpyxl</dc:creator>
  <dc:description/>
  <dc:language>en-US</dc:language>
  <cp:lastModifiedBy/>
  <dcterms:modified xsi:type="dcterms:W3CDTF">2026-08-03T12:03:35Z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